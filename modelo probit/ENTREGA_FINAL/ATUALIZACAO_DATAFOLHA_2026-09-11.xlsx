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c6cc2663b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la3" sheetId="1" r:id="R3157b038017943d7"/>
    <x:sheet xmlns:r="http://schemas.openxmlformats.org/officeDocument/2006/relationships" name="Confrontos" sheetId="2" r:id="Rdec5c2e9d7304c1f"/>
    <x:sheet xmlns:r="http://schemas.openxmlformats.org/officeDocument/2006/relationships" name="Indicadores" sheetId="3" r:id="Red4e469801b34056"/>
    <x:sheet xmlns:r="http://schemas.openxmlformats.org/officeDocument/2006/relationships" name="Institutos" sheetId="4" r:id="R60d2077562894436"/>
    <x:sheet xmlns:r="http://schemas.openxmlformats.org/officeDocument/2006/relationships" name="Auditoria" sheetId="5" r:id="R2bc58c0fb2be4d1d"/>
    <x:sheet xmlns:r="http://schemas.openxmlformats.org/officeDocument/2006/relationships" name="Controle" sheetId="6" r:id="R61c1f77ffd70445d"/>
    <x:sheet xmlns:r="http://schemas.openxmlformats.org/officeDocument/2006/relationships" name="Instrucoes" sheetId="7" r:id="R3bd6dd1c0a3a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9a9d49faf48e7" /><Relationship Type="http://schemas.openxmlformats.org/officeDocument/2006/relationships/theme" Target="/xl/theme/theme1.xml" Id="R720425e387ea48ee" /><Relationship Type="http://schemas.openxmlformats.org/officeDocument/2006/relationships/sharedStrings" Target="/xl/sharedStrings.xml" Id="R74046be361ec4acc" /><Relationship Type="http://schemas.openxmlformats.org/officeDocument/2006/relationships/worksheet" Target="/xl/worksheets/sheet1.xml" Id="R3157b038017943d7" /><Relationship Type="http://schemas.openxmlformats.org/officeDocument/2006/relationships/worksheet" Target="/xl/worksheets/sheet2.xml" Id="Rdec5c2e9d7304c1f" /><Relationship Type="http://schemas.openxmlformats.org/officeDocument/2006/relationships/worksheet" Target="/xl/worksheets/sheet3.xml" Id="Red4e469801b34056" /><Relationship Type="http://schemas.openxmlformats.org/officeDocument/2006/relationships/worksheet" Target="/xl/worksheets/sheet4.xml" Id="R60d2077562894436" /><Relationship Type="http://schemas.openxmlformats.org/officeDocument/2006/relationships/worksheet" Target="/xl/worksheets/sheet5.xml" Id="R2bc58c0fb2be4d1d" /><Relationship Type="http://schemas.openxmlformats.org/officeDocument/2006/relationships/worksheet" Target="/xl/worksheets/sheet6.xml" Id="R61c1f77ffd70445d" /><Relationship Type="http://schemas.openxmlformats.org/officeDocument/2006/relationships/worksheet" Target="/xl/worksheets/sheet7.xml" Id="R3bd6dd1c0a3a47a3" /></Relationships>
</file>

<file path=xl/tables/table1.xml><?xml version="1.0" encoding="utf-8"?>
<x:table xmlns:x="http://schemas.openxmlformats.org/spreadsheetml/2006/main" id="1" name="DadosLula3" displayName="DadosLula3" ref="A1:O2" headerRowCount="1" totalsRowCount="0" totalsRowShown="0">
  <x:autoFilter ref="A1:O2"/>
  <x:tableColumns count="15">
    <x:tableColumn id="1" name="data_referencia"/>
    <x:tableColumn id="2" name="instituto"/>
    <x:tableColumn id="3" name="tipo_pesquisa"/>
    <x:tableColumn id="4" name="frequencia_original"/>
    <x:tableColumn id="5" name="amostra_total"/>
    <x:tableColumn id="6" name="margem_erro_pp"/>
    <x:tableColumn id="7" name="nivel_confianca_pct"/>
    <x:tableColumn id="8" name="nivel_geografico"/>
    <x:tableColumn id="9" name="geografia"/>
    <x:tableColumn id="10" name="segmento_tipo"/>
    <x:tableColumn id="11" name="segmento"/>
    <x:tableColumn id="12" name="amostra_segmento"/>
    <x:tableColumn id="13" name="otimo_bom_pct"/>
    <x:tableColumn id="14" name="regular_pct"/>
    <x:tableColumn id="15" name="ruim_pessimo_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dosConfrontos" displayName="DadosConfrontos" ref="A1:U60" headerRowCount="1" totalsRowCount="0" totalsRowShown="0">
  <x:autoFilter ref="A1:U60"/>
  <x:tableColumns count="21">
    <x:tableColumn id="1" name="data_referencia"/>
    <x:tableColumn id="2" name="instituto"/>
    <x:tableColumn id="3" name="tipo_pesquisa"/>
    <x:tableColumn id="4" name="frequencia_original"/>
    <x:tableColumn id="5" name="amostra_total"/>
    <x:tableColumn id="6" name="margem_erro_pp"/>
    <x:tableColumn id="7" name="nivel_confianca_pct"/>
    <x:tableColumn id="8" name="turno"/>
    <x:tableColumn id="9" name="tipo_cenario"/>
    <x:tableColumn id="10" name="cenario"/>
    <x:tableColumn id="11" name="adversario"/>
    <x:tableColumn id="12" name="nivel_geografico"/>
    <x:tableColumn id="13" name="geografia"/>
    <x:tableColumn id="14" name="segmento_tipo"/>
    <x:tableColumn id="15" name="segmento"/>
    <x:tableColumn id="16" name="amostra_segmento"/>
    <x:tableColumn id="17" name="lula_pct"/>
    <x:tableColumn id="18" name="adversario_pct"/>
    <x:tableColumn id="19" name="outros_candidatos_pct"/>
    <x:tableColumn id="20" name="brancos_nulos_indecisos_pct"/>
    <x:tableColumn id="21" name="base_vo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dosIndicadores" displayName="DadosIndicadores" ref="A1:AE14" headerRowCount="1" totalsRowCount="0" totalsRowShown="0">
  <x:autoFilter ref="A1:AE14"/>
  <x:tableColumns count="31">
    <x:tableColumn id="1" name="data_referencia"/>
    <x:tableColumn id="2" name="periodo_publicado"/>
    <x:tableColumn id="3" name="granularidade_data"/>
    <x:tableColumn id="4" name="onda_publicada"/>
    <x:tableColumn id="5" name="instituto"/>
    <x:tableColumn id="6" name="candidato"/>
    <x:tableColumn id="7" name="produto"/>
    <x:tableColumn id="8" name="tipo_pesquisa"/>
    <x:tableColumn id="9" name="frequencia_original"/>
    <x:tableColumn id="10" name="amostra_total"/>
    <x:tableColumn id="11" name="margem_erro_pp"/>
    <x:tableColumn id="12" name="nivel_confianca_pct"/>
    <x:tableColumn id="13" name="nivel_geografico"/>
    <x:tableColumn id="14" name="geografia"/>
    <x:tableColumn id="15" name="segmento_tipo"/>
    <x:tableColumn id="16" name="segmento"/>
    <x:tableColumn id="17" name="amostra_segmento"/>
    <x:tableColumn id="18" name="aprova_pct"/>
    <x:tableColumn id="19" name="desaprova_pct"/>
    <x:tableColumn id="20" name="aprovacao_liquida_pct"/>
    <x:tableColumn id="21" name="aprovacao_ns_nr_pct"/>
    <x:tableColumn id="22" name="merece_continuar_pct"/>
    <x:tableColumn id="23" name="nao_merece_continuar_pct"/>
    <x:tableColumn id="24" name="continuidade_ns_nr_pct"/>
    <x:tableColumn id="25" name="rejeicao_pct"/>
    <x:tableColumn id="26" name="tipo_rejeicao"/>
    <x:tableColumn id="27" name="pergunta_publicada"/>
    <x:tableColumn id="28" name="fonte_arquivo"/>
    <x:tableColumn id="29" name="fonte_aba"/>
    <x:tableColumn id="30" name="fonte_linha"/>
    <x:tableColumn id="31" name="observaco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dastroInstitutos" displayName="CadastroInstitutos" ref="A1:D1" headerRowCount="1" totalsRowCount="0" totalsRowShown="0">
  <x:autoFilter ref="A1:D1"/>
  <x:tableColumns count="4">
    <x:tableColumn id="1" name="instituto"/>
    <x:tableColumn id="2" name="aliases"/>
    <x:tableColumn id="3" name="peso_legacy"/>
    <x:tableColumn id="4" name="situaca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oriaPDFs" displayName="AuditoriaPDFs" ref="A1:L7" headerRowCount="1" totalsRowCount="0" totalsRowShown="0">
  <x:autoFilter ref="A1:L7"/>
  <x:tableColumns count="12">
    <x:tableColumn id="1" name="arquivo_pdf"/>
    <x:tableColumn id="2" name="instituto"/>
    <x:tableColumn id="3" name="paginas"/>
    <x:tableColumn id="4" name="tipo_dado"/>
    <x:tableColumn id="5" name="recortes"/>
    <x:tableColumn id="6" name="extraido"/>
    <x:tableColumn id="7" name="motivo"/>
    <x:tableColumn id="8" name="duplicata"/>
    <x:tableColumn id="9" name="linhas_lidas"/>
    <x:tableColumn id="10" name="linhas_adicionadas"/>
    <x:tableColumn id="11" name="observacoes"/>
    <x:tableColumn id="12" name="risco_aproximaca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roleMigracao" displayName="ControleMigracao" ref="A1:D1" headerRowCount="1" totalsRowCount="0" totalsRowShown="0">
  <x:autoFilter ref="A1:D1"/>
  <x:tableColumns count="4">
    <x:tableColumn id="1" name="Item"/>
    <x:tableColumn id="2" name="Antes"/>
    <x:tableColumn id="3" name="Depois"/>
    <x:tableColumn id="4" name="Regr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strucoesUso" displayName="InstrucoesUso" ref="A1:C1" headerRowCount="1" totalsRowCount="0" totalsRowShown="0">
  <x:autoFilter ref="A1:C1"/>
  <x:tableColumns count="3">
    <x:tableColumn id="1" name="Passo"/>
    <x:tableColumn id="2" name="Ação"/>
    <x:tableColumn id="3" name="Reg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abcf0ae5564f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80df07a0394a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b8530837d846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bccf43d3b7543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dc730989cd47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76726b56ce447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858a0aa300e4f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8" hidden="0" customWidth="1"/>
    <x:col min="5" max="5" width="14" hidden="0" customWidth="1"/>
    <x:col min="6" max="6" width="15" hidden="0" customWidth="1"/>
    <x:col min="7" max="7" width="18" hidden="0" customWidth="1"/>
    <x:col min="8" max="8" width="17" hidden="0" customWidth="1"/>
    <x:col min="9" max="9" width="14" hidden="0" customWidth="1"/>
    <x:col min="10" max="10" width="17" hidden="0" customWidth="1"/>
    <x:col min="11" max="11" width="22" hidden="0" customWidth="1"/>
    <x:col min="12" max="12" width="17" hidden="0" customWidth="1"/>
    <x:col min="13" max="13" width="16" hidden="0" customWidth="1"/>
    <x:col min="14" max="14" width="14" hidden="0" customWidth="1"/>
    <x:col min="15" max="15" width="18" hidden="0" customWidth="1"/>
  </x:cols>
  <x:sheetData>
    <x:row r="1" ht="42" customHeight="1">
      <x:c r="A1" s="14" t="str">
        <x:v>data_referencia</x:v>
      </x:c>
      <x:c r="B1" s="12" t="str">
        <x:v>instituto</x:v>
      </x:c>
      <x:c r="C1" s="12" t="str">
        <x:v>tipo_pesquisa</x:v>
      </x:c>
      <x:c r="D1" s="12" t="str">
        <x:v>frequencia_original</x:v>
      </x:c>
      <x:c r="E1" s="12" t="str">
        <x:v>amostra_total</x:v>
      </x:c>
      <x:c r="F1" s="12" t="str">
        <x:v>margem_erro_pp</x:v>
      </x:c>
      <x:c r="G1" s="12" t="str">
        <x:v>nivel_confianca_pct</x:v>
      </x:c>
      <x:c r="H1" s="12" t="str">
        <x:v>nivel_geografico</x:v>
      </x:c>
      <x:c r="I1" s="12" t="str">
        <x:v>geografia</x:v>
      </x:c>
      <x:c r="J1" s="12" t="str">
        <x:v>segmento_tipo</x:v>
      </x:c>
      <x:c r="K1" s="12" t="str">
        <x:v>segmento</x:v>
      </x:c>
      <x:c r="L1" s="12" t="str">
        <x:v>amostra_segmento</x:v>
      </x:c>
      <x:c r="M1" s="12" t="str">
        <x:v>otimo_bom_pct</x:v>
      </x:c>
      <x:c r="N1" s="12" t="str">
        <x:v>regular_pct</x:v>
      </x:c>
      <x:c r="O1" s="13" t="str">
        <x:v>ruim_pessimo_pct</x:v>
      </x:c>
    </x:row>
    <x:row r="2" ht="20" customHeight="1">
      <x:c r="A2" s="15" t="n">
        <x:v>46276</x:v>
      </x:c>
      <x:c r="B2" s="2" t="str">
        <x:v>Datafolha</x:v>
      </x:c>
      <x:c r="C2" s="2" t="str">
        <x:v>Presencial em pontos de fluxo</x:v>
      </x:c>
      <x:c r="D2" s="2"/>
      <x:c r="E2" s="2" t="n">
        <x:v>2002</x:v>
      </x:c>
      <x:c r="F2" s="2" t="n">
        <x:v>2</x:v>
      </x:c>
      <x:c r="G2" s="2" t="n">
        <x:v>95</x:v>
      </x:c>
      <x:c r="H2" s="2" t="str">
        <x:v>Brasil</x:v>
      </x:c>
      <x:c r="I2" s="2" t="str">
        <x:v>Brasil</x:v>
      </x:c>
      <x:c r="J2" s="2" t="str">
        <x:v>Total</x:v>
      </x:c>
      <x:c r="K2" s="2" t="str">
        <x:v>Total</x:v>
      </x:c>
      <x:c r="L2" s="2"/>
      <x:c r="M2" s="2" t="n">
        <x:v>32</x:v>
      </x:c>
      <x:c r="N2" s="2" t="n">
        <x:v>25</x:v>
      </x:c>
      <x:c r="O2" s="2" t="n">
        <x:v>42</x:v>
      </x:c>
    </x:row>
  </x:sheetData>
  <x:pageMargins left="0.7" right="0.7" top="0.75" bottom="0.75" header="0.3" footer="0.3"/>
  <x:tableParts count="1">
    <x:tablePart xmlns:r="http://schemas.openxmlformats.org/officeDocument/2006/relationships" r:id="Rd0abcf0ae5564f0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8" hidden="0" customWidth="1"/>
    <x:col min="5" max="5" width="14" hidden="0" customWidth="1"/>
    <x:col min="6" max="6" width="15" hidden="0" customWidth="1"/>
    <x:col min="7" max="7" width="18" hidden="0" customWidth="1"/>
    <x:col min="8" max="8" width="9" hidden="0" customWidth="1"/>
    <x:col min="9" max="9" width="18" hidden="0" customWidth="1"/>
    <x:col min="10" max="10" width="31" hidden="0" customWidth="1"/>
    <x:col min="11" max="11" width="20" hidden="0" customWidth="1"/>
    <x:col min="12" max="12" width="17" hidden="0" customWidth="1"/>
    <x:col min="13" max="13" width="14" hidden="0" customWidth="1"/>
    <x:col min="14" max="14" width="17" hidden="0" customWidth="1"/>
    <x:col min="15" max="15" width="25" hidden="0" customWidth="1"/>
    <x:col min="16" max="16" width="17" hidden="0" customWidth="1"/>
    <x:col min="17" max="17" width="12" hidden="0" customWidth="1"/>
    <x:col min="18" max="18" width="17" hidden="0" customWidth="1"/>
    <x:col min="19" max="19" width="22" hidden="0" customWidth="1"/>
    <x:col min="20" max="20" width="27" hidden="0" customWidth="1"/>
    <x:col min="21" max="21" width="12" hidden="0" customWidth="1"/>
  </x:cols>
  <x:sheetData>
    <x:row r="1" ht="42" customHeight="1">
      <x:c r="A1" s="14" t="str">
        <x:v>data_referencia</x:v>
      </x:c>
      <x:c r="B1" s="12" t="str">
        <x:v>instituto</x:v>
      </x:c>
      <x:c r="C1" s="12" t="str">
        <x:v>tipo_pesquisa</x:v>
      </x:c>
      <x:c r="D1" s="12" t="str">
        <x:v>frequencia_original</x:v>
      </x:c>
      <x:c r="E1" s="12" t="str">
        <x:v>amostra_total</x:v>
      </x:c>
      <x:c r="F1" s="12" t="str">
        <x:v>margem_erro_pp</x:v>
      </x:c>
      <x:c r="G1" s="12" t="str">
        <x:v>nivel_confianca_pct</x:v>
      </x:c>
      <x:c r="H1" s="12" t="str">
        <x:v>turno</x:v>
      </x:c>
      <x:c r="I1" s="12" t="str">
        <x:v>tipo_cenario</x:v>
      </x:c>
      <x:c r="J1" s="12" t="str">
        <x:v>cenario</x:v>
      </x:c>
      <x:c r="K1" s="12" t="str">
        <x:v>adversario</x:v>
      </x:c>
      <x:c r="L1" s="12" t="str">
        <x:v>nivel_geografico</x:v>
      </x:c>
      <x:c r="M1" s="12" t="str">
        <x:v>geografia</x:v>
      </x:c>
      <x:c r="N1" s="12" t="str">
        <x:v>segmento_tipo</x:v>
      </x:c>
      <x:c r="O1" s="12" t="str">
        <x:v>segmento</x:v>
      </x:c>
      <x:c r="P1" s="12" t="str">
        <x:v>amostra_segmento</x:v>
      </x:c>
      <x:c r="Q1" s="12" t="str">
        <x:v>lula_pct</x:v>
      </x:c>
      <x:c r="R1" s="12" t="str">
        <x:v>adversario_pct</x:v>
      </x:c>
      <x:c r="S1" s="12" t="str">
        <x:v>outros_candidatos_pct</x:v>
      </x:c>
      <x:c r="T1" s="12" t="str">
        <x:v>brancos_nulos_indecisos_pct</x:v>
      </x:c>
      <x:c r="U1" s="13" t="str">
        <x:v>base_voto</x:v>
      </x:c>
    </x:row>
    <x:row r="2" ht="20" customHeight="1">
      <x:c r="A2" s="15" t="n">
        <x:v>46276</x:v>
      </x:c>
      <x:c r="B2" s="2" t="str">
        <x:v>Datafolha</x:v>
      </x:c>
      <x:c r="C2" s="2" t="str">
        <x:v>Presencial em pontos de fluxo</x:v>
      </x:c>
      <x:c r="D2" s="2"/>
      <x:c r="E2" s="2" t="n">
        <x:v>2002</x:v>
      </x:c>
      <x:c r="F2" s="2" t="n">
        <x:v>2</x:v>
      </x:c>
      <x:c r="G2" s="2" t="n">
        <x:v>95</x:v>
      </x:c>
      <x:c r="H2" s="2" t="n">
        <x:v>1</x:v>
      </x:c>
      <x:c r="I2" s="2" t="str">
        <x:v>Estimulado</x:v>
      </x:c>
      <x:c r="J2" s="2" t="str">
        <x:v>Cenário 1 — sem Pablo Marçal</x:v>
      </x:c>
      <x:c r="K2" s="2" t="str">
        <x:v>Flávio</x:v>
      </x:c>
      <x:c r="L2" s="2" t="str">
        <x:v>Brasil</x:v>
      </x:c>
      <x:c r="M2" s="2" t="str">
        <x:v>Brasil</x:v>
      </x:c>
      <x:c r="N2" s="2" t="str">
        <x:v>Total</x:v>
      </x:c>
      <x:c r="O2" s="2" t="str">
        <x:v>Total</x:v>
      </x:c>
      <x:c r="P2" s="2"/>
      <x:c r="Q2" s="2" t="n">
        <x:v>39</x:v>
      </x:c>
      <x:c r="R2" s="2" t="n">
        <x:v>35</x:v>
      </x:c>
      <x:c r="S2" s="2" t="n">
        <x:v>19</x:v>
      </x:c>
      <x:c r="T2" s="2" t="n">
        <x:v>10</x:v>
      </x:c>
      <x:c r="U2" s="2" t="str">
        <x:v>Totais</x:v>
      </x:c>
    </x:row>
    <x:row r="3" ht="20" customHeight="1">
      <x:c r="A3" s="15" t="n">
        <x:v>46276</x:v>
      </x:c>
      <x:c r="B3" s="2" t="str">
        <x:v>Datafolha</x:v>
      </x:c>
      <x:c r="C3" s="2" t="str">
        <x:v>Presencial em pontos de fluxo</x:v>
      </x:c>
      <x:c r="D3" s="2"/>
      <x:c r="E3" s="2" t="n">
        <x:v>2002</x:v>
      </x:c>
      <x:c r="F3" s="2" t="n">
        <x:v>2</x:v>
      </x:c>
      <x:c r="G3" s="2" t="n">
        <x:v>95</x:v>
      </x:c>
      <x:c r="H3" s="2" t="n">
        <x:v>1</x:v>
      </x:c>
      <x:c r="I3" s="2" t="str">
        <x:v>Estimulado</x:v>
      </x:c>
      <x:c r="J3" s="2" t="str">
        <x:v>Cenário 1 — sem Pablo Marçal</x:v>
      </x:c>
      <x:c r="K3" s="2" t="str">
        <x:v>Augusto Cury</x:v>
      </x:c>
      <x:c r="L3" s="2" t="str">
        <x:v>Brasil</x:v>
      </x:c>
      <x:c r="M3" s="2" t="str">
        <x:v>Brasil</x:v>
      </x:c>
      <x:c r="N3" s="2" t="str">
        <x:v>Total</x:v>
      </x:c>
      <x:c r="O3" s="2" t="str">
        <x:v>Total</x:v>
      </x:c>
      <x:c r="P3" s="2"/>
      <x:c r="Q3" s="2" t="n">
        <x:v>39</x:v>
      </x:c>
      <x:c r="R3" s="2" t="n">
        <x:v>6</x:v>
      </x:c>
      <x:c r="S3" s="2" t="n">
        <x:v>48</x:v>
      </x:c>
      <x:c r="T3" s="2" t="n">
        <x:v>10</x:v>
      </x:c>
      <x:c r="U3" s="2" t="str">
        <x:v>Totais</x:v>
      </x:c>
    </x:row>
    <x:row r="4" ht="20" customHeight="1">
      <x:c r="A4" s="15" t="n">
        <x:v>46276</x:v>
      </x:c>
      <x:c r="B4" s="2" t="str">
        <x:v>Datafolha</x:v>
      </x:c>
      <x:c r="C4" s="2" t="str">
        <x:v>Presencial em pontos de fluxo</x:v>
      </x:c>
      <x:c r="D4" s="2"/>
      <x:c r="E4" s="2" t="n">
        <x:v>2002</x:v>
      </x:c>
      <x:c r="F4" s="2" t="n">
        <x:v>2</x:v>
      </x:c>
      <x:c r="G4" s="2" t="n">
        <x:v>95</x:v>
      </x:c>
      <x:c r="H4" s="2" t="n">
        <x:v>1</x:v>
      </x:c>
      <x:c r="I4" s="2" t="str">
        <x:v>Estimulado</x:v>
      </x:c>
      <x:c r="J4" s="2" t="str">
        <x:v>Cenário 1 — sem Pablo Marçal</x:v>
      </x:c>
      <x:c r="K4" s="2" t="str">
        <x:v>Ronaldo Caiado</x:v>
      </x:c>
      <x:c r="L4" s="2" t="str">
        <x:v>Brasil</x:v>
      </x:c>
      <x:c r="M4" s="2" t="str">
        <x:v>Brasil</x:v>
      </x:c>
      <x:c r="N4" s="2" t="str">
        <x:v>Total</x:v>
      </x:c>
      <x:c r="O4" s="2" t="str">
        <x:v>Total</x:v>
      </x:c>
      <x:c r="P4" s="2"/>
      <x:c r="Q4" s="2" t="n">
        <x:v>39</x:v>
      </x:c>
      <x:c r="R4" s="2" t="n">
        <x:v>4</x:v>
      </x:c>
      <x:c r="S4" s="2" t="n">
        <x:v>50</x:v>
      </x:c>
      <x:c r="T4" s="2" t="n">
        <x:v>10</x:v>
      </x:c>
      <x:c r="U4" s="2" t="str">
        <x:v>Totais</x:v>
      </x:c>
    </x:row>
    <x:row r="5" ht="20" customHeight="1">
      <x:c r="A5" s="15" t="n">
        <x:v>46276</x:v>
      </x:c>
      <x:c r="B5" s="2" t="str">
        <x:v>Datafolha</x:v>
      </x:c>
      <x:c r="C5" s="2" t="str">
        <x:v>Presencial em pontos de fluxo</x:v>
      </x:c>
      <x:c r="D5" s="2"/>
      <x:c r="E5" s="2" t="n">
        <x:v>2002</x:v>
      </x:c>
      <x:c r="F5" s="2" t="n">
        <x:v>2</x:v>
      </x:c>
      <x:c r="G5" s="2" t="n">
        <x:v>95</x:v>
      </x:c>
      <x:c r="H5" s="2" t="n">
        <x:v>1</x:v>
      </x:c>
      <x:c r="I5" s="2" t="str">
        <x:v>Estimulado</x:v>
      </x:c>
      <x:c r="J5" s="2" t="str">
        <x:v>Cenário 1 — sem Pablo Marçal</x:v>
      </x:c>
      <x:c r="K5" s="2" t="str">
        <x:v>Renan Santos</x:v>
      </x:c>
      <x:c r="L5" s="2" t="str">
        <x:v>Brasil</x:v>
      </x:c>
      <x:c r="M5" s="2" t="str">
        <x:v>Brasil</x:v>
      </x:c>
      <x:c r="N5" s="2" t="str">
        <x:v>Total</x:v>
      </x:c>
      <x:c r="O5" s="2" t="str">
        <x:v>Total</x:v>
      </x:c>
      <x:c r="P5" s="2"/>
      <x:c r="Q5" s="2" t="n">
        <x:v>39</x:v>
      </x:c>
      <x:c r="R5" s="2" t="n">
        <x:v>3</x:v>
      </x:c>
      <x:c r="S5" s="2" t="n">
        <x:v>51</x:v>
      </x:c>
      <x:c r="T5" s="2" t="n">
        <x:v>10</x:v>
      </x:c>
      <x:c r="U5" s="2" t="str">
        <x:v>Totais</x:v>
      </x:c>
    </x:row>
    <x:row r="6" ht="20" customHeight="1">
      <x:c r="A6" s="15" t="n">
        <x:v>46276</x:v>
      </x:c>
      <x:c r="B6" s="2" t="str">
        <x:v>Datafolha</x:v>
      </x:c>
      <x:c r="C6" s="2" t="str">
        <x:v>Presencial em pontos de fluxo</x:v>
      </x:c>
      <x:c r="D6" s="2"/>
      <x:c r="E6" s="2" t="n">
        <x:v>2002</x:v>
      </x:c>
      <x:c r="F6" s="2" t="n">
        <x:v>2</x:v>
      </x:c>
      <x:c r="G6" s="2" t="n">
        <x:v>95</x:v>
      </x:c>
      <x:c r="H6" s="2" t="n">
        <x:v>1</x:v>
      </x:c>
      <x:c r="I6" s="2" t="str">
        <x:v>Estimulado</x:v>
      </x:c>
      <x:c r="J6" s="2" t="str">
        <x:v>Cenário 1 — sem Pablo Marçal</x:v>
      </x:c>
      <x:c r="K6" s="2" t="str">
        <x:v>Romeu Zema</x:v>
      </x:c>
      <x:c r="L6" s="2" t="str">
        <x:v>Brasil</x:v>
      </x:c>
      <x:c r="M6" s="2" t="str">
        <x:v>Brasil</x:v>
      </x:c>
      <x:c r="N6" s="2" t="str">
        <x:v>Total</x:v>
      </x:c>
      <x:c r="O6" s="2" t="str">
        <x:v>Total</x:v>
      </x:c>
      <x:c r="P6" s="2"/>
      <x:c r="Q6" s="2" t="n">
        <x:v>39</x:v>
      </x:c>
      <x:c r="R6" s="2" t="n">
        <x:v>2</x:v>
      </x:c>
      <x:c r="S6" s="2" t="n">
        <x:v>52</x:v>
      </x:c>
      <x:c r="T6" s="2" t="n">
        <x:v>10</x:v>
      </x:c>
      <x:c r="U6" s="2" t="str">
        <x:v>Totais</x:v>
      </x:c>
    </x:row>
    <x:row r="7" ht="20" customHeight="1">
      <x:c r="A7" s="15" t="n">
        <x:v>46276</x:v>
      </x:c>
      <x:c r="B7" s="2" t="str">
        <x:v>Datafolha</x:v>
      </x:c>
      <x:c r="C7" s="2" t="str">
        <x:v>Presencial em pontos de fluxo</x:v>
      </x:c>
      <x:c r="D7" s="2"/>
      <x:c r="E7" s="2" t="n">
        <x:v>2002</x:v>
      </x:c>
      <x:c r="F7" s="2" t="n">
        <x:v>2</x:v>
      </x:c>
      <x:c r="G7" s="2" t="n">
        <x:v>95</x:v>
      </x:c>
      <x:c r="H7" s="2" t="n">
        <x:v>1</x:v>
      </x:c>
      <x:c r="I7" s="2" t="str">
        <x:v>Estimulado</x:v>
      </x:c>
      <x:c r="J7" s="2" t="str">
        <x:v>Cenário 2 — com Pablo Marçal</x:v>
      </x:c>
      <x:c r="K7" s="2" t="str">
        <x:v>Flávio</x:v>
      </x:c>
      <x:c r="L7" s="2" t="str">
        <x:v>Brasil</x:v>
      </x:c>
      <x:c r="M7" s="2" t="str">
        <x:v>Brasil</x:v>
      </x:c>
      <x:c r="N7" s="2" t="str">
        <x:v>Total</x:v>
      </x:c>
      <x:c r="O7" s="2" t="str">
        <x:v>Total</x:v>
      </x:c>
      <x:c r="P7" s="2"/>
      <x:c r="Q7" s="2" t="n">
        <x:v>39</x:v>
      </x:c>
      <x:c r="R7" s="2" t="n">
        <x:v>33</x:v>
      </x:c>
      <x:c r="S7" s="2" t="n">
        <x:v>18</x:v>
      </x:c>
      <x:c r="T7" s="2" t="n">
        <x:v>9</x:v>
      </x:c>
      <x:c r="U7" s="2" t="str">
        <x:v>Totais</x:v>
      </x:c>
    </x:row>
    <x:row r="8" ht="20" customHeight="1">
      <x:c r="A8" s="15" t="n">
        <x:v>46276</x:v>
      </x:c>
      <x:c r="B8" s="2" t="str">
        <x:v>Datafolha</x:v>
      </x:c>
      <x:c r="C8" s="2" t="str">
        <x:v>Presencial em pontos de fluxo</x:v>
      </x:c>
      <x:c r="D8" s="2"/>
      <x:c r="E8" s="2" t="n">
        <x:v>2002</x:v>
      </x:c>
      <x:c r="F8" s="2" t="n">
        <x:v>2</x:v>
      </x:c>
      <x:c r="G8" s="2" t="n">
        <x:v>95</x:v>
      </x:c>
      <x:c r="H8" s="2" t="n">
        <x:v>1</x:v>
      </x:c>
      <x:c r="I8" s="2" t="str">
        <x:v>Estimulado</x:v>
      </x:c>
      <x:c r="J8" s="2" t="str">
        <x:v>Cenário 2 — com Pablo Marçal</x:v>
      </x:c>
      <x:c r="K8" s="2" t="str">
        <x:v>Augusto Cury</x:v>
      </x:c>
      <x:c r="L8" s="2" t="str">
        <x:v>Brasil</x:v>
      </x:c>
      <x:c r="M8" s="2" t="str">
        <x:v>Brasil</x:v>
      </x:c>
      <x:c r="N8" s="2" t="str">
        <x:v>Total</x:v>
      </x:c>
      <x:c r="O8" s="2" t="str">
        <x:v>Total</x:v>
      </x:c>
      <x:c r="P8" s="2"/>
      <x:c r="Q8" s="2" t="n">
        <x:v>39</x:v>
      </x:c>
      <x:c r="R8" s="2" t="n">
        <x:v>5</x:v>
      </x:c>
      <x:c r="S8" s="2" t="n">
        <x:v>46</x:v>
      </x:c>
      <x:c r="T8" s="2" t="n">
        <x:v>9</x:v>
      </x:c>
      <x:c r="U8" s="2" t="str">
        <x:v>Totais</x:v>
      </x:c>
    </x:row>
    <x:row r="9" ht="20" customHeight="1">
      <x:c r="A9" s="15" t="n">
        <x:v>46276</x:v>
      </x:c>
      <x:c r="B9" s="2" t="str">
        <x:v>Datafolha</x:v>
      </x:c>
      <x:c r="C9" s="2" t="str">
        <x:v>Presencial em pontos de fluxo</x:v>
      </x:c>
      <x:c r="D9" s="2"/>
      <x:c r="E9" s="2" t="n">
        <x:v>2002</x:v>
      </x:c>
      <x:c r="F9" s="2" t="n">
        <x:v>2</x:v>
      </x:c>
      <x:c r="G9" s="2" t="n">
        <x:v>95</x:v>
      </x:c>
      <x:c r="H9" s="2" t="n">
        <x:v>1</x:v>
      </x:c>
      <x:c r="I9" s="2" t="str">
        <x:v>Estimulado</x:v>
      </x:c>
      <x:c r="J9" s="2" t="str">
        <x:v>Cenário 2 — com Pablo Marçal</x:v>
      </x:c>
      <x:c r="K9" s="2" t="str">
        <x:v>Ronaldo Caiado</x:v>
      </x:c>
      <x:c r="L9" s="2" t="str">
        <x:v>Brasil</x:v>
      </x:c>
      <x:c r="M9" s="2" t="str">
        <x:v>Brasil</x:v>
      </x:c>
      <x:c r="N9" s="2" t="str">
        <x:v>Total</x:v>
      </x:c>
      <x:c r="O9" s="2" t="str">
        <x:v>Total</x:v>
      </x:c>
      <x:c r="P9" s="2"/>
      <x:c r="Q9" s="2" t="n">
        <x:v>39</x:v>
      </x:c>
      <x:c r="R9" s="2" t="n">
        <x:v>4</x:v>
      </x:c>
      <x:c r="S9" s="2" t="n">
        <x:v>47</x:v>
      </x:c>
      <x:c r="T9" s="2" t="n">
        <x:v>9</x:v>
      </x:c>
      <x:c r="U9" s="2" t="str">
        <x:v>Totais</x:v>
      </x:c>
    </x:row>
    <x:row r="10" ht="20" customHeight="1">
      <x:c r="A10" s="15" t="n">
        <x:v>46276</x:v>
      </x:c>
      <x:c r="B10" s="2" t="str">
        <x:v>Datafolha</x:v>
      </x:c>
      <x:c r="C10" s="2" t="str">
        <x:v>Presencial em pontos de fluxo</x:v>
      </x:c>
      <x:c r="D10" s="2"/>
      <x:c r="E10" s="2" t="n">
        <x:v>2002</x:v>
      </x:c>
      <x:c r="F10" s="2" t="n">
        <x:v>2</x:v>
      </x:c>
      <x:c r="G10" s="2" t="n">
        <x:v>95</x:v>
      </x:c>
      <x:c r="H10" s="2" t="n">
        <x:v>1</x:v>
      </x:c>
      <x:c r="I10" s="2" t="str">
        <x:v>Estimulado</x:v>
      </x:c>
      <x:c r="J10" s="2" t="str">
        <x:v>Cenário 2 — com Pablo Marçal</x:v>
      </x:c>
      <x:c r="K10" s="2" t="str">
        <x:v>Renan Santos</x:v>
      </x:c>
      <x:c r="L10" s="2" t="str">
        <x:v>Brasil</x:v>
      </x:c>
      <x:c r="M10" s="2" t="str">
        <x:v>Brasil</x:v>
      </x:c>
      <x:c r="N10" s="2" t="str">
        <x:v>Total</x:v>
      </x:c>
      <x:c r="O10" s="2" t="str">
        <x:v>Total</x:v>
      </x:c>
      <x:c r="P10" s="2"/>
      <x:c r="Q10" s="2" t="n">
        <x:v>39</x:v>
      </x:c>
      <x:c r="R10" s="2" t="n">
        <x:v>3</x:v>
      </x:c>
      <x:c r="S10" s="2" t="n">
        <x:v>48</x:v>
      </x:c>
      <x:c r="T10" s="2" t="n">
        <x:v>9</x:v>
      </x:c>
      <x:c r="U10" s="2" t="str">
        <x:v>Totais</x:v>
      </x:c>
    </x:row>
    <x:row r="11" ht="20" customHeight="1">
      <x:c r="A11" s="15" t="n">
        <x:v>46276</x:v>
      </x:c>
      <x:c r="B11" s="2" t="str">
        <x:v>Datafolha</x:v>
      </x:c>
      <x:c r="C11" s="2" t="str">
        <x:v>Presencial em pontos de fluxo</x:v>
      </x:c>
      <x:c r="D11" s="2"/>
      <x:c r="E11" s="2" t="n">
        <x:v>2002</x:v>
      </x:c>
      <x:c r="F11" s="2" t="n">
        <x:v>2</x:v>
      </x:c>
      <x:c r="G11" s="2" t="n">
        <x:v>95</x:v>
      </x:c>
      <x:c r="H11" s="2" t="n">
        <x:v>1</x:v>
      </x:c>
      <x:c r="I11" s="2" t="str">
        <x:v>Estimulado</x:v>
      </x:c>
      <x:c r="J11" s="2" t="str">
        <x:v>Cenário 2 — com Pablo Marçal</x:v>
      </x:c>
      <x:c r="K11" s="2" t="str">
        <x:v>Romeu Zema</x:v>
      </x:c>
      <x:c r="L11" s="2" t="str">
        <x:v>Brasil</x:v>
      </x:c>
      <x:c r="M11" s="2" t="str">
        <x:v>Brasil</x:v>
      </x:c>
      <x:c r="N11" s="2" t="str">
        <x:v>Total</x:v>
      </x:c>
      <x:c r="O11" s="2" t="str">
        <x:v>Total</x:v>
      </x:c>
      <x:c r="P11" s="2"/>
      <x:c r="Q11" s="2" t="n">
        <x:v>39</x:v>
      </x:c>
      <x:c r="R11" s="2" t="n">
        <x:v>2</x:v>
      </x:c>
      <x:c r="S11" s="2" t="n">
        <x:v>49</x:v>
      </x:c>
      <x:c r="T11" s="2" t="n">
        <x:v>9</x:v>
      </x:c>
      <x:c r="U11" s="2" t="str">
        <x:v>Totais</x:v>
      </x:c>
    </x:row>
    <x:row r="12" ht="20" customHeight="1">
      <x:c r="A12" s="15" t="n">
        <x:v>46276</x:v>
      </x:c>
      <x:c r="B12" s="2" t="str">
        <x:v>Datafolha</x:v>
      </x:c>
      <x:c r="C12" s="2" t="str">
        <x:v>Presencial em pontos de fluxo</x:v>
      </x:c>
      <x:c r="D12" s="2"/>
      <x:c r="E12" s="2" t="n">
        <x:v>2002</x:v>
      </x:c>
      <x:c r="F12" s="2" t="n">
        <x:v>2</x:v>
      </x:c>
      <x:c r="G12" s="2" t="n">
        <x:v>95</x:v>
      </x:c>
      <x:c r="H12" s="2" t="n">
        <x:v>1</x:v>
      </x:c>
      <x:c r="I12" s="2" t="str">
        <x:v>Estimulado</x:v>
      </x:c>
      <x:c r="J12" s="2" t="str">
        <x:v>Cenário 2 — com Pablo Marçal</x:v>
      </x:c>
      <x:c r="K12" s="2" t="str">
        <x:v>Pablo Marçal</x:v>
      </x:c>
      <x:c r="L12" s="2" t="str">
        <x:v>Brasil</x:v>
      </x:c>
      <x:c r="M12" s="2" t="str">
        <x:v>Brasil</x:v>
      </x:c>
      <x:c r="N12" s="2" t="str">
        <x:v>Total</x:v>
      </x:c>
      <x:c r="O12" s="2" t="str">
        <x:v>Total</x:v>
      </x:c>
      <x:c r="P12" s="2"/>
      <x:c r="Q12" s="2" t="n">
        <x:v>39</x:v>
      </x:c>
      <x:c r="R12" s="2" t="n">
        <x:v>2</x:v>
      </x:c>
      <x:c r="S12" s="2" t="n">
        <x:v>49</x:v>
      </x:c>
      <x:c r="T12" s="2" t="n">
        <x:v>9</x:v>
      </x:c>
      <x:c r="U12" s="2" t="str">
        <x:v>Totais</x:v>
      </x:c>
    </x:row>
    <x:row r="13" ht="20" customHeight="1">
      <x:c r="A13" s="15" t="n">
        <x:v>46276</x:v>
      </x:c>
      <x:c r="B13" s="2" t="str">
        <x:v>Datafolha</x:v>
      </x:c>
      <x:c r="C13" s="2" t="str">
        <x:v>Presencial em pontos de fluxo</x:v>
      </x:c>
      <x:c r="D13" s="2"/>
      <x:c r="E13" s="2" t="n">
        <x:v>2002</x:v>
      </x:c>
      <x:c r="F13" s="2" t="n">
        <x:v>2</x:v>
      </x:c>
      <x:c r="G13" s="2" t="n">
        <x:v>95</x:v>
      </x:c>
      <x:c r="H13" s="2" t="n">
        <x:v>1</x:v>
      </x:c>
      <x:c r="I13" s="2" t="str">
        <x:v>Espontâneo</x:v>
      </x:c>
      <x:c r="J13" s="2" t="str">
        <x:v>Espontânea</x:v>
      </x:c>
      <x:c r="K13" s="2" t="str">
        <x:v>Flávio</x:v>
      </x:c>
      <x:c r="L13" s="2" t="str">
        <x:v>Brasil</x:v>
      </x:c>
      <x:c r="M13" s="2" t="str">
        <x:v>Brasil</x:v>
      </x:c>
      <x:c r="N13" s="2" t="str">
        <x:v>Total</x:v>
      </x:c>
      <x:c r="O13" s="2" t="str">
        <x:v>Total</x:v>
      </x:c>
      <x:c r="P13" s="2"/>
      <x:c r="Q13" s="2" t="n">
        <x:v>33</x:v>
      </x:c>
      <x:c r="R13" s="2" t="n">
        <x:v>25</x:v>
      </x:c>
      <x:c r="S13" s="2" t="n">
        <x:v>13</x:v>
      </x:c>
      <x:c r="T13" s="2" t="n">
        <x:v>29</x:v>
      </x:c>
      <x:c r="U13" s="2" t="str">
        <x:v>Totais</x:v>
      </x:c>
    </x:row>
    <x:row r="14" ht="20" customHeight="1">
      <x:c r="A14" s="15" t="n">
        <x:v>46276</x:v>
      </x:c>
      <x:c r="B14" s="2" t="str">
        <x:v>Datafolha</x:v>
      </x:c>
      <x:c r="C14" s="2" t="str">
        <x:v>Presencial em pontos de fluxo</x:v>
      </x:c>
      <x:c r="D14" s="2"/>
      <x:c r="E14" s="2" t="n">
        <x:v>2002</x:v>
      </x:c>
      <x:c r="F14" s="2" t="n">
        <x:v>2</x:v>
      </x:c>
      <x:c r="G14" s="2" t="n">
        <x:v>95</x:v>
      </x:c>
      <x:c r="H14" s="2" t="n">
        <x:v>1</x:v>
      </x:c>
      <x:c r="I14" s="2" t="str">
        <x:v>Espontâneo</x:v>
      </x:c>
      <x:c r="J14" s="2" t="str">
        <x:v>Espontânea</x:v>
      </x:c>
      <x:c r="K14" s="2" t="str">
        <x:v>Augusto Cury</x:v>
      </x:c>
      <x:c r="L14" s="2" t="str">
        <x:v>Brasil</x:v>
      </x:c>
      <x:c r="M14" s="2" t="str">
        <x:v>Brasil</x:v>
      </x:c>
      <x:c r="N14" s="2" t="str">
        <x:v>Total</x:v>
      </x:c>
      <x:c r="O14" s="2" t="str">
        <x:v>Total</x:v>
      </x:c>
      <x:c r="P14" s="2"/>
      <x:c r="Q14" s="2" t="n">
        <x:v>33</x:v>
      </x:c>
      <x:c r="R14" s="2" t="n">
        <x:v>3</x:v>
      </x:c>
      <x:c r="S14" s="2" t="n">
        <x:v>35</x:v>
      </x:c>
      <x:c r="T14" s="2" t="n">
        <x:v>29</x:v>
      </x:c>
      <x:c r="U14" s="2" t="str">
        <x:v>Totais</x:v>
      </x:c>
    </x:row>
    <x:row r="15" ht="20" customHeight="1">
      <x:c r="A15" s="15" t="n">
        <x:v>46276</x:v>
      </x:c>
      <x:c r="B15" s="2" t="str">
        <x:v>Datafolha</x:v>
      </x:c>
      <x:c r="C15" s="2" t="str">
        <x:v>Presencial em pontos de fluxo</x:v>
      </x:c>
      <x:c r="D15" s="2"/>
      <x:c r="E15" s="2" t="n">
        <x:v>2002</x:v>
      </x:c>
      <x:c r="F15" s="2" t="n">
        <x:v>2</x:v>
      </x:c>
      <x:c r="G15" s="2" t="n">
        <x:v>95</x:v>
      </x:c>
      <x:c r="H15" s="2" t="n">
        <x:v>1</x:v>
      </x:c>
      <x:c r="I15" s="2" t="str">
        <x:v>Espontâneo</x:v>
      </x:c>
      <x:c r="J15" s="2" t="str">
        <x:v>Espontânea</x:v>
      </x:c>
      <x:c r="K15" s="2" t="str">
        <x:v>Renan Santos</x:v>
      </x:c>
      <x:c r="L15" s="2" t="str">
        <x:v>Brasil</x:v>
      </x:c>
      <x:c r="M15" s="2" t="str">
        <x:v>Brasil</x:v>
      </x:c>
      <x:c r="N15" s="2" t="str">
        <x:v>Total</x:v>
      </x:c>
      <x:c r="O15" s="2" t="str">
        <x:v>Total</x:v>
      </x:c>
      <x:c r="P15" s="2"/>
      <x:c r="Q15" s="2" t="n">
        <x:v>33</x:v>
      </x:c>
      <x:c r="R15" s="2" t="n">
        <x:v>2</x:v>
      </x:c>
      <x:c r="S15" s="2" t="n">
        <x:v>36</x:v>
      </x:c>
      <x:c r="T15" s="2" t="n">
        <x:v>29</x:v>
      </x:c>
      <x:c r="U15" s="2" t="str">
        <x:v>Totais</x:v>
      </x:c>
    </x:row>
    <x:row r="16" ht="20" customHeight="1">
      <x:c r="A16" s="15" t="n">
        <x:v>46276</x:v>
      </x:c>
      <x:c r="B16" s="2" t="str">
        <x:v>Datafolha</x:v>
      </x:c>
      <x:c r="C16" s="2" t="str">
        <x:v>Presencial em pontos de fluxo</x:v>
      </x:c>
      <x:c r="D16" s="2"/>
      <x:c r="E16" s="2" t="n">
        <x:v>2002</x:v>
      </x:c>
      <x:c r="F16" s="2" t="n">
        <x:v>2</x:v>
      </x:c>
      <x:c r="G16" s="2" t="n">
        <x:v>95</x:v>
      </x:c>
      <x:c r="H16" s="2" t="n">
        <x:v>1</x:v>
      </x:c>
      <x:c r="I16" s="2" t="str">
        <x:v>Espontâneo</x:v>
      </x:c>
      <x:c r="J16" s="2" t="str">
        <x:v>Espontânea</x:v>
      </x:c>
      <x:c r="K16" s="2" t="str">
        <x:v>Ronaldo Caiado</x:v>
      </x:c>
      <x:c r="L16" s="2" t="str">
        <x:v>Brasil</x:v>
      </x:c>
      <x:c r="M16" s="2" t="str">
        <x:v>Brasil</x:v>
      </x:c>
      <x:c r="N16" s="2" t="str">
        <x:v>Total</x:v>
      </x:c>
      <x:c r="O16" s="2" t="str">
        <x:v>Total</x:v>
      </x:c>
      <x:c r="P16" s="2"/>
      <x:c r="Q16" s="2" t="n">
        <x:v>33</x:v>
      </x:c>
      <x:c r="R16" s="2" t="n">
        <x:v>1</x:v>
      </x:c>
      <x:c r="S16" s="2" t="n">
        <x:v>37</x:v>
      </x:c>
      <x:c r="T16" s="2" t="n">
        <x:v>29</x:v>
      </x:c>
      <x:c r="U16" s="2" t="str">
        <x:v>Totais</x:v>
      </x:c>
    </x:row>
    <x:row r="17" ht="20" customHeight="1">
      <x:c r="A17" s="15" t="n">
        <x:v>46276</x:v>
      </x:c>
      <x:c r="B17" s="2" t="str">
        <x:v>Datafolha</x:v>
      </x:c>
      <x:c r="C17" s="2" t="str">
        <x:v>Presencial em pontos de fluxo</x:v>
      </x:c>
      <x:c r="D17" s="2"/>
      <x:c r="E17" s="2" t="n">
        <x:v>2002</x:v>
      </x:c>
      <x:c r="F17" s="2" t="n">
        <x:v>2</x:v>
      </x:c>
      <x:c r="G17" s="2" t="n">
        <x:v>95</x:v>
      </x:c>
      <x:c r="H17" s="2" t="n">
        <x:v>2</x:v>
      </x:c>
      <x:c r="I17" s="2" t="str">
        <x:v>Segundo turno</x:v>
      </x:c>
      <x:c r="J17" s="2" t="str">
        <x:v>Lula x Flávio</x:v>
      </x:c>
      <x:c r="K17" s="2" t="str">
        <x:v>Flávio</x:v>
      </x:c>
      <x:c r="L17" s="2" t="str">
        <x:v>Brasil</x:v>
      </x:c>
      <x:c r="M17" s="2" t="str">
        <x:v>Brasil</x:v>
      </x:c>
      <x:c r="N17" s="2" t="str">
        <x:v>Total</x:v>
      </x:c>
      <x:c r="O17" s="2" t="str">
        <x:v>Total</x:v>
      </x:c>
      <x:c r="P17" s="2"/>
      <x:c r="Q17" s="2" t="n">
        <x:v>46</x:v>
      </x:c>
      <x:c r="R17" s="2" t="n">
        <x:v>44</x:v>
      </x:c>
      <x:c r="S17" s="2" t="n">
        <x:v>0</x:v>
      </x:c>
      <x:c r="T17" s="2" t="n">
        <x:v>9</x:v>
      </x:c>
      <x:c r="U17" s="2" t="str">
        <x:v>Totais</x:v>
      </x:c>
    </x:row>
    <x:row r="18" ht="20" customHeight="1">
      <x:c r="A18" s="15" t="n">
        <x:v>46276</x:v>
      </x:c>
      <x:c r="B18" s="2" t="str">
        <x:v>Datafolha</x:v>
      </x:c>
      <x:c r="C18" s="2" t="str">
        <x:v>Presencial em pontos de fluxo</x:v>
      </x:c>
      <x:c r="D18" s="2"/>
      <x:c r="E18" s="2" t="n">
        <x:v>2002</x:v>
      </x:c>
      <x:c r="F18" s="2" t="n">
        <x:v>2</x:v>
      </x:c>
      <x:c r="G18" s="2" t="n">
        <x:v>95</x:v>
      </x:c>
      <x:c r="H18" s="2" t="n">
        <x:v>2</x:v>
      </x:c>
      <x:c r="I18" s="2" t="str">
        <x:v>Segundo turno</x:v>
      </x:c>
      <x:c r="J18" s="2" t="str">
        <x:v>Lula x Augusto Cury</x:v>
      </x:c>
      <x:c r="K18" s="2" t="str">
        <x:v>Augusto Cury</x:v>
      </x:c>
      <x:c r="L18" s="2" t="str">
        <x:v>Brasil</x:v>
      </x:c>
      <x:c r="M18" s="2" t="str">
        <x:v>Brasil</x:v>
      </x:c>
      <x:c r="N18" s="2" t="str">
        <x:v>Total</x:v>
      </x:c>
      <x:c r="O18" s="2" t="str">
        <x:v>Total</x:v>
      </x:c>
      <x:c r="P18" s="2"/>
      <x:c r="Q18" s="2" t="n">
        <x:v>45</x:v>
      </x:c>
      <x:c r="R18" s="2" t="n">
        <x:v>43</x:v>
      </x:c>
      <x:c r="S18" s="2" t="n">
        <x:v>0</x:v>
      </x:c>
      <x:c r="T18" s="2" t="n">
        <x:v>12</x:v>
      </x:c>
      <x:c r="U18" s="2" t="str">
        <x:v>Totais</x:v>
      </x:c>
    </x:row>
    <x:row r="19" ht="20" customHeight="1">
      <x:c r="A19" s="15" t="n">
        <x:v>46276</x:v>
      </x:c>
      <x:c r="B19" s="2" t="str">
        <x:v>Datafolha</x:v>
      </x:c>
      <x:c r="C19" s="2" t="str">
        <x:v>Presencial em pontos de fluxo</x:v>
      </x:c>
      <x:c r="D19" s="2"/>
      <x:c r="E19" s="2" t="n">
        <x:v>2002</x:v>
      </x:c>
      <x:c r="F19" s="2" t="n">
        <x:v>2</x:v>
      </x:c>
      <x:c r="G19" s="2" t="n">
        <x:v>95</x:v>
      </x:c>
      <x:c r="H19" s="2" t="n">
        <x:v>2</x:v>
      </x:c>
      <x:c r="I19" s="2" t="str">
        <x:v>Segundo turno</x:v>
      </x:c>
      <x:c r="J19" s="2" t="str">
        <x:v>Lula x Ronaldo Caiado</x:v>
      </x:c>
      <x:c r="K19" s="2" t="str">
        <x:v>Ronaldo Caiado</x:v>
      </x:c>
      <x:c r="L19" s="2" t="str">
        <x:v>Brasil</x:v>
      </x:c>
      <x:c r="M19" s="2" t="str">
        <x:v>Brasil</x:v>
      </x:c>
      <x:c r="N19" s="2" t="str">
        <x:v>Total</x:v>
      </x:c>
      <x:c r="O19" s="2" t="str">
        <x:v>Total</x:v>
      </x:c>
      <x:c r="P19" s="2"/>
      <x:c r="Q19" s="2" t="n">
        <x:v>46</x:v>
      </x:c>
      <x:c r="R19" s="2" t="n">
        <x:v>41</x:v>
      </x:c>
      <x:c r="S19" s="2" t="n">
        <x:v>0</x:v>
      </x:c>
      <x:c r="T19" s="2" t="n">
        <x:v>12</x:v>
      </x:c>
      <x:c r="U19" s="2" t="str">
        <x:v>Totais</x:v>
      </x:c>
    </x:row>
    <x:row r="20" ht="20" customHeight="1">
      <x:c r="A20" s="15" t="n">
        <x:v>46276</x:v>
      </x:c>
      <x:c r="B20" s="2" t="str">
        <x:v>Datafolha</x:v>
      </x:c>
      <x:c r="C20" s="2" t="str">
        <x:v>Presencial em pontos de fluxo</x:v>
      </x:c>
      <x:c r="D20" s="2"/>
      <x:c r="E20" s="2" t="n">
        <x:v>2002</x:v>
      </x:c>
      <x:c r="F20" s="2" t="n">
        <x:v>2</x:v>
      </x:c>
      <x:c r="G20" s="2" t="n">
        <x:v>95</x:v>
      </x:c>
      <x:c r="H20" s="2" t="n">
        <x:v>2</x:v>
      </x:c>
      <x:c r="I20" s="2" t="str">
        <x:v>Segundo turno</x:v>
      </x:c>
      <x:c r="J20" s="2" t="str">
        <x:v>Lula x Romeu Zema</x:v>
      </x:c>
      <x:c r="K20" s="2" t="str">
        <x:v>Romeu Zema</x:v>
      </x:c>
      <x:c r="L20" s="2" t="str">
        <x:v>Brasil</x:v>
      </x:c>
      <x:c r="M20" s="2" t="str">
        <x:v>Brasil</x:v>
      </x:c>
      <x:c r="N20" s="2" t="str">
        <x:v>Total</x:v>
      </x:c>
      <x:c r="O20" s="2" t="str">
        <x:v>Total</x:v>
      </x:c>
      <x:c r="P20" s="2"/>
      <x:c r="Q20" s="2" t="n">
        <x:v>48</x:v>
      </x:c>
      <x:c r="R20" s="2" t="n">
        <x:v>39</x:v>
      </x:c>
      <x:c r="S20" s="2" t="n">
        <x:v>0</x:v>
      </x:c>
      <x:c r="T20" s="2" t="n">
        <x:v>13</x:v>
      </x:c>
      <x:c r="U20" s="2" t="str">
        <x:v>Totais</x:v>
      </x:c>
    </x:row>
    <x:row r="21" ht="20" customHeight="1">
      <x:c r="A21" s="15" t="n">
        <x:v>46276</x:v>
      </x:c>
      <x:c r="B21" s="2" t="str">
        <x:v>Datafolha</x:v>
      </x:c>
      <x:c r="C21" s="2" t="str">
        <x:v>Presencial em pontos de fluxo</x:v>
      </x:c>
      <x:c r="D21" s="2"/>
      <x:c r="E21" s="2" t="n">
        <x:v>2002</x:v>
      </x:c>
      <x:c r="F21" s="2" t="n">
        <x:v>2</x:v>
      </x:c>
      <x:c r="G21" s="2" t="n">
        <x:v>95</x:v>
      </x:c>
      <x:c r="H21" s="2" t="n">
        <x:v>2</x:v>
      </x:c>
      <x:c r="I21" s="2" t="str">
        <x:v>Segundo turno</x:v>
      </x:c>
      <x:c r="J21" s="2" t="str">
        <x:v>Lula x Renan Santos</x:v>
      </x:c>
      <x:c r="K21" s="2" t="str">
        <x:v>Renan Santos</x:v>
      </x:c>
      <x:c r="L21" s="2" t="str">
        <x:v>Brasil</x:v>
      </x:c>
      <x:c r="M21" s="2" t="str">
        <x:v>Brasil</x:v>
      </x:c>
      <x:c r="N21" s="2" t="str">
        <x:v>Total</x:v>
      </x:c>
      <x:c r="O21" s="2" t="str">
        <x:v>Total</x:v>
      </x:c>
      <x:c r="P21" s="2"/>
      <x:c r="Q21" s="2" t="n">
        <x:v>48</x:v>
      </x:c>
      <x:c r="R21" s="2" t="n">
        <x:v>37</x:v>
      </x:c>
      <x:c r="S21" s="2" t="n">
        <x:v>0</x:v>
      </x:c>
      <x:c r="T21" s="2" t="n">
        <x:v>14</x:v>
      </x:c>
      <x:c r="U21" s="2" t="str">
        <x:v>Totais</x:v>
      </x:c>
    </x:row>
    <x:row r="22" ht="20" customHeight="1">
      <x:c r="A22" s="15" t="n">
        <x:v>46276</x:v>
      </x:c>
      <x:c r="B22" s="2" t="str">
        <x:v>Datafolha</x:v>
      </x:c>
      <x:c r="C22" s="2" t="str">
        <x:v>Presencial em pontos de fluxo</x:v>
      </x:c>
      <x:c r="D22" s="2"/>
      <x:c r="E22" s="2" t="n">
        <x:v>2002</x:v>
      </x:c>
      <x:c r="F22" s="2" t="n">
        <x:v>2</x:v>
      </x:c>
      <x:c r="G22" s="2" t="n">
        <x:v>95</x:v>
      </x:c>
      <x:c r="H22" s="2" t="n">
        <x:v>1</x:v>
      </x:c>
      <x:c r="I22" s="2" t="str">
        <x:v>Estimulado</x:v>
      </x:c>
      <x:c r="J22" s="2" t="str">
        <x:v>Cenário 1 — sem Pablo Marçal</x:v>
      </x:c>
      <x:c r="K22" s="2" t="str">
        <x:v>Flávio</x:v>
      </x:c>
      <x:c r="L22" s="2" t="str">
        <x:v>Brasil</x:v>
      </x:c>
      <x:c r="M22" s="2" t="str">
        <x:v>Brasil</x:v>
      </x:c>
      <x:c r="N22" s="2" t="str">
        <x:v>Sexo</x:v>
      </x:c>
      <x:c r="O22" s="2" t="str">
        <x:v>Masculino</x:v>
      </x:c>
      <x:c r="P22" s="2"/>
      <x:c r="Q22" s="2" t="n">
        <x:v>36</x:v>
      </x:c>
      <x:c r="R22" s="2" t="n">
        <x:v>40</x:v>
      </x:c>
      <x:c r="S22" s="2"/>
      <x:c r="T22" s="2"/>
      <x:c r="U22" s="2" t="str">
        <x:v>Totais</x:v>
      </x:c>
    </x:row>
    <x:row r="23" ht="20" customHeight="1">
      <x:c r="A23" s="15" t="n">
        <x:v>46276</x:v>
      </x:c>
      <x:c r="B23" s="2" t="str">
        <x:v>Datafolha</x:v>
      </x:c>
      <x:c r="C23" s="2" t="str">
        <x:v>Presencial em pontos de fluxo</x:v>
      </x:c>
      <x:c r="D23" s="2"/>
      <x:c r="E23" s="2" t="n">
        <x:v>2002</x:v>
      </x:c>
      <x:c r="F23" s="2" t="n">
        <x:v>2</x:v>
      </x:c>
      <x:c r="G23" s="2" t="n">
        <x:v>95</x:v>
      </x:c>
      <x:c r="H23" s="2" t="n">
        <x:v>1</x:v>
      </x:c>
      <x:c r="I23" s="2" t="str">
        <x:v>Estimulado</x:v>
      </x:c>
      <x:c r="J23" s="2" t="str">
        <x:v>Cenário 1 — sem Pablo Marçal</x:v>
      </x:c>
      <x:c r="K23" s="2" t="str">
        <x:v>Flávio</x:v>
      </x:c>
      <x:c r="L23" s="2" t="str">
        <x:v>Brasil</x:v>
      </x:c>
      <x:c r="M23" s="2" t="str">
        <x:v>Brasil</x:v>
      </x:c>
      <x:c r="N23" s="2" t="str">
        <x:v>Sexo</x:v>
      </x:c>
      <x:c r="O23" s="2" t="str">
        <x:v>Feminino</x:v>
      </x:c>
      <x:c r="P23" s="2"/>
      <x:c r="Q23" s="2" t="n">
        <x:v>41</x:v>
      </x:c>
      <x:c r="R23" s="2" t="n">
        <x:v>30</x:v>
      </x:c>
      <x:c r="S23" s="2"/>
      <x:c r="T23" s="2"/>
      <x:c r="U23" s="2" t="str">
        <x:v>Totais</x:v>
      </x:c>
    </x:row>
    <x:row r="24" ht="20" customHeight="1">
      <x:c r="A24" s="15" t="n">
        <x:v>46276</x:v>
      </x:c>
      <x:c r="B24" s="2" t="str">
        <x:v>Datafolha</x:v>
      </x:c>
      <x:c r="C24" s="2" t="str">
        <x:v>Presencial em pontos de fluxo</x:v>
      </x:c>
      <x:c r="D24" s="2"/>
      <x:c r="E24" s="2" t="n">
        <x:v>2002</x:v>
      </x:c>
      <x:c r="F24" s="2" t="n">
        <x:v>2</x:v>
      </x:c>
      <x:c r="G24" s="2" t="n">
        <x:v>95</x:v>
      </x:c>
      <x:c r="H24" s="2" t="n">
        <x:v>1</x:v>
      </x:c>
      <x:c r="I24" s="2" t="str">
        <x:v>Estimulado</x:v>
      </x:c>
      <x:c r="J24" s="2" t="str">
        <x:v>Cenário 1 — sem Pablo Marçal</x:v>
      </x:c>
      <x:c r="K24" s="2" t="str">
        <x:v>Flávio</x:v>
      </x:c>
      <x:c r="L24" s="2" t="str">
        <x:v>Brasil</x:v>
      </x:c>
      <x:c r="M24" s="2" t="str">
        <x:v>Brasil</x:v>
      </x:c>
      <x:c r="N24" s="2" t="str">
        <x:v>Idade</x:v>
      </x:c>
      <x:c r="O24" s="2" t="str">
        <x:v>16 a 24 anos</x:v>
      </x:c>
      <x:c r="P24" s="2"/>
      <x:c r="Q24" s="2" t="n">
        <x:v>36</x:v>
      </x:c>
      <x:c r="R24" s="2" t="n">
        <x:v>34</x:v>
      </x:c>
      <x:c r="S24" s="2"/>
      <x:c r="T24" s="2"/>
      <x:c r="U24" s="2" t="str">
        <x:v>Totais</x:v>
      </x:c>
    </x:row>
    <x:row r="25" ht="20" customHeight="1">
      <x:c r="A25" s="15" t="n">
        <x:v>46276</x:v>
      </x:c>
      <x:c r="B25" s="2" t="str">
        <x:v>Datafolha</x:v>
      </x:c>
      <x:c r="C25" s="2" t="str">
        <x:v>Presencial em pontos de fluxo</x:v>
      </x:c>
      <x:c r="D25" s="2"/>
      <x:c r="E25" s="2" t="n">
        <x:v>2002</x:v>
      </x:c>
      <x:c r="F25" s="2" t="n">
        <x:v>2</x:v>
      </x:c>
      <x:c r="G25" s="2" t="n">
        <x:v>95</x:v>
      </x:c>
      <x:c r="H25" s="2" t="n">
        <x:v>1</x:v>
      </x:c>
      <x:c r="I25" s="2" t="str">
        <x:v>Estimulado</x:v>
      </x:c>
      <x:c r="J25" s="2" t="str">
        <x:v>Cenário 1 — sem Pablo Marçal</x:v>
      </x:c>
      <x:c r="K25" s="2" t="str">
        <x:v>Flávio</x:v>
      </x:c>
      <x:c r="L25" s="2" t="str">
        <x:v>Brasil</x:v>
      </x:c>
      <x:c r="M25" s="2" t="str">
        <x:v>Brasil</x:v>
      </x:c>
      <x:c r="N25" s="2" t="str">
        <x:v>Idade</x:v>
      </x:c>
      <x:c r="O25" s="2" t="str">
        <x:v>25 a 34 anos</x:v>
      </x:c>
      <x:c r="P25" s="2"/>
      <x:c r="Q25" s="2" t="n">
        <x:v>35</x:v>
      </x:c>
      <x:c r="R25" s="2" t="n">
        <x:v>36</x:v>
      </x:c>
      <x:c r="S25" s="2"/>
      <x:c r="T25" s="2"/>
      <x:c r="U25" s="2" t="str">
        <x:v>Totais</x:v>
      </x:c>
    </x:row>
    <x:row r="26" ht="20" customHeight="1">
      <x:c r="A26" s="15" t="n">
        <x:v>46276</x:v>
      </x:c>
      <x:c r="B26" s="2" t="str">
        <x:v>Datafolha</x:v>
      </x:c>
      <x:c r="C26" s="2" t="str">
        <x:v>Presencial em pontos de fluxo</x:v>
      </x:c>
      <x:c r="D26" s="2"/>
      <x:c r="E26" s="2" t="n">
        <x:v>2002</x:v>
      </x:c>
      <x:c r="F26" s="2" t="n">
        <x:v>2</x:v>
      </x:c>
      <x:c r="G26" s="2" t="n">
        <x:v>95</x:v>
      </x:c>
      <x:c r="H26" s="2" t="n">
        <x:v>1</x:v>
      </x:c>
      <x:c r="I26" s="2" t="str">
        <x:v>Estimulado</x:v>
      </x:c>
      <x:c r="J26" s="2" t="str">
        <x:v>Cenário 1 — sem Pablo Marçal</x:v>
      </x:c>
      <x:c r="K26" s="2" t="str">
        <x:v>Flávio</x:v>
      </x:c>
      <x:c r="L26" s="2" t="str">
        <x:v>Brasil</x:v>
      </x:c>
      <x:c r="M26" s="2" t="str">
        <x:v>Brasil</x:v>
      </x:c>
      <x:c r="N26" s="2" t="str">
        <x:v>Idade</x:v>
      </x:c>
      <x:c r="O26" s="2" t="str">
        <x:v>35 a 44 anos</x:v>
      </x:c>
      <x:c r="P26" s="2"/>
      <x:c r="Q26" s="2" t="n">
        <x:v>39</x:v>
      </x:c>
      <x:c r="R26" s="2" t="n">
        <x:v>35</x:v>
      </x:c>
      <x:c r="S26" s="2"/>
      <x:c r="T26" s="2"/>
      <x:c r="U26" s="2" t="str">
        <x:v>Totais</x:v>
      </x:c>
    </x:row>
    <x:row r="27" ht="20" customHeight="1">
      <x:c r="A27" s="15" t="n">
        <x:v>46276</x:v>
      </x:c>
      <x:c r="B27" s="2" t="str">
        <x:v>Datafolha</x:v>
      </x:c>
      <x:c r="C27" s="2" t="str">
        <x:v>Presencial em pontos de fluxo</x:v>
      </x:c>
      <x:c r="D27" s="2"/>
      <x:c r="E27" s="2" t="n">
        <x:v>2002</x:v>
      </x:c>
      <x:c r="F27" s="2" t="n">
        <x:v>2</x:v>
      </x:c>
      <x:c r="G27" s="2" t="n">
        <x:v>95</x:v>
      </x:c>
      <x:c r="H27" s="2" t="n">
        <x:v>1</x:v>
      </x:c>
      <x:c r="I27" s="2" t="str">
        <x:v>Estimulado</x:v>
      </x:c>
      <x:c r="J27" s="2" t="str">
        <x:v>Cenário 1 — sem Pablo Marçal</x:v>
      </x:c>
      <x:c r="K27" s="2" t="str">
        <x:v>Flávio</x:v>
      </x:c>
      <x:c r="L27" s="2" t="str">
        <x:v>Brasil</x:v>
      </x:c>
      <x:c r="M27" s="2" t="str">
        <x:v>Brasil</x:v>
      </x:c>
      <x:c r="N27" s="2" t="str">
        <x:v>Idade</x:v>
      </x:c>
      <x:c r="O27" s="2" t="str">
        <x:v>45 a 59 anos</x:v>
      </x:c>
      <x:c r="P27" s="2"/>
      <x:c r="Q27" s="2" t="n">
        <x:v>39</x:v>
      </x:c>
      <x:c r="R27" s="2" t="n">
        <x:v>35</x:v>
      </x:c>
      <x:c r="S27" s="2"/>
      <x:c r="T27" s="2"/>
      <x:c r="U27" s="2" t="str">
        <x:v>Totais</x:v>
      </x:c>
    </x:row>
    <x:row r="28" ht="20" customHeight="1">
      <x:c r="A28" s="15" t="n">
        <x:v>46276</x:v>
      </x:c>
      <x:c r="B28" s="2" t="str">
        <x:v>Datafolha</x:v>
      </x:c>
      <x:c r="C28" s="2" t="str">
        <x:v>Presencial em pontos de fluxo</x:v>
      </x:c>
      <x:c r="D28" s="2"/>
      <x:c r="E28" s="2" t="n">
        <x:v>2002</x:v>
      </x:c>
      <x:c r="F28" s="2" t="n">
        <x:v>2</x:v>
      </x:c>
      <x:c r="G28" s="2" t="n">
        <x:v>95</x:v>
      </x:c>
      <x:c r="H28" s="2" t="n">
        <x:v>1</x:v>
      </x:c>
      <x:c r="I28" s="2" t="str">
        <x:v>Estimulado</x:v>
      </x:c>
      <x:c r="J28" s="2" t="str">
        <x:v>Cenário 1 — sem Pablo Marçal</x:v>
      </x:c>
      <x:c r="K28" s="2" t="str">
        <x:v>Flávio</x:v>
      </x:c>
      <x:c r="L28" s="2" t="str">
        <x:v>Brasil</x:v>
      </x:c>
      <x:c r="M28" s="2" t="str">
        <x:v>Brasil</x:v>
      </x:c>
      <x:c r="N28" s="2" t="str">
        <x:v>Idade</x:v>
      </x:c>
      <x:c r="O28" s="2" t="str">
        <x:v>60 anos ou mais</x:v>
      </x:c>
      <x:c r="P28" s="2"/>
      <x:c r="Q28" s="2" t="n">
        <x:v>42</x:v>
      </x:c>
      <x:c r="R28" s="2" t="n">
        <x:v>34</x:v>
      </x:c>
      <x:c r="S28" s="2"/>
      <x:c r="T28" s="2"/>
      <x:c r="U28" s="2" t="str">
        <x:v>Totais</x:v>
      </x:c>
    </x:row>
    <x:row r="29" ht="20" customHeight="1">
      <x:c r="A29" s="15" t="n">
        <x:v>46276</x:v>
      </x:c>
      <x:c r="B29" s="2" t="str">
        <x:v>Datafolha</x:v>
      </x:c>
      <x:c r="C29" s="2" t="str">
        <x:v>Presencial em pontos de fluxo</x:v>
      </x:c>
      <x:c r="D29" s="2"/>
      <x:c r="E29" s="2" t="n">
        <x:v>2002</x:v>
      </x:c>
      <x:c r="F29" s="2" t="n">
        <x:v>2</x:v>
      </x:c>
      <x:c r="G29" s="2" t="n">
        <x:v>95</x:v>
      </x:c>
      <x:c r="H29" s="2" t="n">
        <x:v>1</x:v>
      </x:c>
      <x:c r="I29" s="2" t="str">
        <x:v>Estimulado</x:v>
      </x:c>
      <x:c r="J29" s="2" t="str">
        <x:v>Cenário 1 — sem Pablo Marçal</x:v>
      </x:c>
      <x:c r="K29" s="2" t="str">
        <x:v>Flávio</x:v>
      </x:c>
      <x:c r="L29" s="2" t="str">
        <x:v>Brasil</x:v>
      </x:c>
      <x:c r="M29" s="2" t="str">
        <x:v>Brasil</x:v>
      </x:c>
      <x:c r="N29" s="2" t="str">
        <x:v>Renda familiar</x:v>
      </x:c>
      <x:c r="O29" s="2" t="str">
        <x:v>Até 2 salários mínimos</x:v>
      </x:c>
      <x:c r="P29" s="2"/>
      <x:c r="Q29" s="2" t="n">
        <x:v>47</x:v>
      </x:c>
      <x:c r="R29" s="2" t="n">
        <x:v>27</x:v>
      </x:c>
      <x:c r="S29" s="2"/>
      <x:c r="T29" s="2"/>
      <x:c r="U29" s="2" t="str">
        <x:v>Totais</x:v>
      </x:c>
    </x:row>
    <x:row r="30" ht="20" customHeight="1">
      <x:c r="A30" s="15" t="n">
        <x:v>46276</x:v>
      </x:c>
      <x:c r="B30" s="2" t="str">
        <x:v>Datafolha</x:v>
      </x:c>
      <x:c r="C30" s="2" t="str">
        <x:v>Presencial em pontos de fluxo</x:v>
      </x:c>
      <x:c r="D30" s="2"/>
      <x:c r="E30" s="2" t="n">
        <x:v>2002</x:v>
      </x:c>
      <x:c r="F30" s="2" t="n">
        <x:v>2</x:v>
      </x:c>
      <x:c r="G30" s="2" t="n">
        <x:v>95</x:v>
      </x:c>
      <x:c r="H30" s="2" t="n">
        <x:v>1</x:v>
      </x:c>
      <x:c r="I30" s="2" t="str">
        <x:v>Estimulado</x:v>
      </x:c>
      <x:c r="J30" s="2" t="str">
        <x:v>Cenário 1 — sem Pablo Marçal</x:v>
      </x:c>
      <x:c r="K30" s="2" t="str">
        <x:v>Flávio</x:v>
      </x:c>
      <x:c r="L30" s="2" t="str">
        <x:v>Brasil</x:v>
      </x:c>
      <x:c r="M30" s="2" t="str">
        <x:v>Brasil</x:v>
      </x:c>
      <x:c r="N30" s="2" t="str">
        <x:v>Renda familiar</x:v>
      </x:c>
      <x:c r="O30" s="2" t="str">
        <x:v>Mais de 2 a 5 salários mínimos</x:v>
      </x:c>
      <x:c r="P30" s="2"/>
      <x:c r="Q30" s="2" t="n">
        <x:v>31</x:v>
      </x:c>
      <x:c r="R30" s="2" t="n">
        <x:v>42</x:v>
      </x:c>
      <x:c r="S30" s="2"/>
      <x:c r="T30" s="2"/>
      <x:c r="U30" s="2" t="str">
        <x:v>Totais</x:v>
      </x:c>
    </x:row>
    <x:row r="31" ht="20" customHeight="1">
      <x:c r="A31" s="15" t="n">
        <x:v>46276</x:v>
      </x:c>
      <x:c r="B31" s="2" t="str">
        <x:v>Datafolha</x:v>
      </x:c>
      <x:c r="C31" s="2" t="str">
        <x:v>Presencial em pontos de fluxo</x:v>
      </x:c>
      <x:c r="D31" s="2"/>
      <x:c r="E31" s="2" t="n">
        <x:v>2002</x:v>
      </x:c>
      <x:c r="F31" s="2" t="n">
        <x:v>2</x:v>
      </x:c>
      <x:c r="G31" s="2" t="n">
        <x:v>95</x:v>
      </x:c>
      <x:c r="H31" s="2" t="n">
        <x:v>1</x:v>
      </x:c>
      <x:c r="I31" s="2" t="str">
        <x:v>Estimulado</x:v>
      </x:c>
      <x:c r="J31" s="2" t="str">
        <x:v>Cenário 1 — sem Pablo Marçal</x:v>
      </x:c>
      <x:c r="K31" s="2" t="str">
        <x:v>Flávio</x:v>
      </x:c>
      <x:c r="L31" s="2" t="str">
        <x:v>Brasil</x:v>
      </x:c>
      <x:c r="M31" s="2" t="str">
        <x:v>Brasil</x:v>
      </x:c>
      <x:c r="N31" s="2" t="str">
        <x:v>Renda familiar</x:v>
      </x:c>
      <x:c r="O31" s="2" t="str">
        <x:v>Mais de 5 salários mínimos</x:v>
      </x:c>
      <x:c r="P31" s="2"/>
      <x:c r="Q31" s="2" t="n">
        <x:v>27</x:v>
      </x:c>
      <x:c r="R31" s="2" t="n">
        <x:v>47</x:v>
      </x:c>
      <x:c r="S31" s="2"/>
      <x:c r="T31" s="2"/>
      <x:c r="U31" s="2" t="str">
        <x:v>Totais</x:v>
      </x:c>
    </x:row>
    <x:row r="32" ht="20" customHeight="1">
      <x:c r="A32" s="15" t="n">
        <x:v>46276</x:v>
      </x:c>
      <x:c r="B32" s="2" t="str">
        <x:v>Datafolha</x:v>
      </x:c>
      <x:c r="C32" s="2" t="str">
        <x:v>Presencial em pontos de fluxo</x:v>
      </x:c>
      <x:c r="D32" s="2"/>
      <x:c r="E32" s="2" t="n">
        <x:v>2002</x:v>
      </x:c>
      <x:c r="F32" s="2" t="n">
        <x:v>2</x:v>
      </x:c>
      <x:c r="G32" s="2" t="n">
        <x:v>95</x:v>
      </x:c>
      <x:c r="H32" s="2" t="n">
        <x:v>1</x:v>
      </x:c>
      <x:c r="I32" s="2" t="str">
        <x:v>Estimulado</x:v>
      </x:c>
      <x:c r="J32" s="2" t="str">
        <x:v>Cenário 1 — sem Pablo Marçal</x:v>
      </x:c>
      <x:c r="K32" s="2" t="str">
        <x:v>Flávio</x:v>
      </x:c>
      <x:c r="L32" s="2" t="str">
        <x:v>Brasil</x:v>
      </x:c>
      <x:c r="M32" s="2" t="str">
        <x:v>Brasil</x:v>
      </x:c>
      <x:c r="N32" s="2" t="str">
        <x:v>Religião</x:v>
      </x:c>
      <x:c r="O32" s="2" t="str">
        <x:v>Católicos</x:v>
      </x:c>
      <x:c r="P32" s="2"/>
      <x:c r="Q32" s="2" t="n">
        <x:v>46</x:v>
      </x:c>
      <x:c r="R32" s="2" t="n">
        <x:v>29</x:v>
      </x:c>
      <x:c r="S32" s="2"/>
      <x:c r="T32" s="2"/>
      <x:c r="U32" s="2" t="str">
        <x:v>Totais</x:v>
      </x:c>
    </x:row>
    <x:row r="33" ht="20" customHeight="1">
      <x:c r="A33" s="15" t="n">
        <x:v>46276</x:v>
      </x:c>
      <x:c r="B33" s="2" t="str">
        <x:v>Datafolha</x:v>
      </x:c>
      <x:c r="C33" s="2" t="str">
        <x:v>Presencial em pontos de fluxo</x:v>
      </x:c>
      <x:c r="D33" s="2"/>
      <x:c r="E33" s="2" t="n">
        <x:v>2002</x:v>
      </x:c>
      <x:c r="F33" s="2" t="n">
        <x:v>2</x:v>
      </x:c>
      <x:c r="G33" s="2" t="n">
        <x:v>95</x:v>
      </x:c>
      <x:c r="H33" s="2" t="n">
        <x:v>1</x:v>
      </x:c>
      <x:c r="I33" s="2" t="str">
        <x:v>Estimulado</x:v>
      </x:c>
      <x:c r="J33" s="2" t="str">
        <x:v>Cenário 1 — sem Pablo Marçal</x:v>
      </x:c>
      <x:c r="K33" s="2" t="str">
        <x:v>Flávio</x:v>
      </x:c>
      <x:c r="L33" s="2" t="str">
        <x:v>Brasil</x:v>
      </x:c>
      <x:c r="M33" s="2" t="str">
        <x:v>Brasil</x:v>
      </x:c>
      <x:c r="N33" s="2" t="str">
        <x:v>Religião</x:v>
      </x:c>
      <x:c r="O33" s="2" t="str">
        <x:v>Evangélicos</x:v>
      </x:c>
      <x:c r="P33" s="2"/>
      <x:c r="Q33" s="2" t="n">
        <x:v>22</x:v>
      </x:c>
      <x:c r="R33" s="2" t="n">
        <x:v>50</x:v>
      </x:c>
      <x:c r="S33" s="2"/>
      <x:c r="T33" s="2"/>
      <x:c r="U33" s="2" t="str">
        <x:v>Totais</x:v>
      </x:c>
    </x:row>
    <x:row r="34" ht="20" customHeight="1">
      <x:c r="A34" s="15" t="n">
        <x:v>46276</x:v>
      </x:c>
      <x:c r="B34" s="2" t="str">
        <x:v>Datafolha</x:v>
      </x:c>
      <x:c r="C34" s="2" t="str">
        <x:v>Presencial em pontos de fluxo</x:v>
      </x:c>
      <x:c r="D34" s="2"/>
      <x:c r="E34" s="2" t="n">
        <x:v>2002</x:v>
      </x:c>
      <x:c r="F34" s="2" t="n">
        <x:v>2</x:v>
      </x:c>
      <x:c r="G34" s="2" t="n">
        <x:v>95</x:v>
      </x:c>
      <x:c r="H34" s="2" t="n">
        <x:v>1</x:v>
      </x:c>
      <x:c r="I34" s="2" t="str">
        <x:v>Estimulado</x:v>
      </x:c>
      <x:c r="J34" s="2" t="str">
        <x:v>Cenário 1 — sem Pablo Marçal</x:v>
      </x:c>
      <x:c r="K34" s="2" t="str">
        <x:v>Flávio</x:v>
      </x:c>
      <x:c r="L34" s="2" t="str">
        <x:v>Brasil</x:v>
      </x:c>
      <x:c r="M34" s="2" t="str">
        <x:v>Brasil</x:v>
      </x:c>
      <x:c r="N34" s="2" t="str">
        <x:v>Escolaridade</x:v>
      </x:c>
      <x:c r="O34" s="2" t="str">
        <x:v>Ensino fundamental</x:v>
      </x:c>
      <x:c r="P34" s="2"/>
      <x:c r="Q34" s="2" t="n">
        <x:v>52</x:v>
      </x:c>
      <x:c r="R34" s="2" t="n">
        <x:v>24</x:v>
      </x:c>
      <x:c r="S34" s="2"/>
      <x:c r="T34" s="2"/>
      <x:c r="U34" s="2" t="str">
        <x:v>Totais</x:v>
      </x:c>
    </x:row>
    <x:row r="35" ht="20" customHeight="1">
      <x:c r="A35" s="15" t="n">
        <x:v>46276</x:v>
      </x:c>
      <x:c r="B35" s="2" t="str">
        <x:v>Datafolha</x:v>
      </x:c>
      <x:c r="C35" s="2" t="str">
        <x:v>Presencial em pontos de fluxo</x:v>
      </x:c>
      <x:c r="D35" s="2"/>
      <x:c r="E35" s="2" t="n">
        <x:v>2002</x:v>
      </x:c>
      <x:c r="F35" s="2" t="n">
        <x:v>2</x:v>
      </x:c>
      <x:c r="G35" s="2" t="n">
        <x:v>95</x:v>
      </x:c>
      <x:c r="H35" s="2" t="n">
        <x:v>1</x:v>
      </x:c>
      <x:c r="I35" s="2" t="str">
        <x:v>Estimulado</x:v>
      </x:c>
      <x:c r="J35" s="2" t="str">
        <x:v>Cenário 1 — sem Pablo Marçal</x:v>
      </x:c>
      <x:c r="K35" s="2" t="str">
        <x:v>Flávio</x:v>
      </x:c>
      <x:c r="L35" s="2" t="str">
        <x:v>Brasil</x:v>
      </x:c>
      <x:c r="M35" s="2" t="str">
        <x:v>Brasil</x:v>
      </x:c>
      <x:c r="N35" s="2" t="str">
        <x:v>Escolaridade</x:v>
      </x:c>
      <x:c r="O35" s="2" t="str">
        <x:v>Ensino médio</x:v>
      </x:c>
      <x:c r="P35" s="2"/>
      <x:c r="Q35" s="2" t="n">
        <x:v>35</x:v>
      </x:c>
      <x:c r="R35" s="2" t="n">
        <x:v>40</x:v>
      </x:c>
      <x:c r="S35" s="2"/>
      <x:c r="T35" s="2"/>
      <x:c r="U35" s="2" t="str">
        <x:v>Totais</x:v>
      </x:c>
    </x:row>
    <x:row r="36" ht="20" customHeight="1">
      <x:c r="A36" s="15" t="n">
        <x:v>46276</x:v>
      </x:c>
      <x:c r="B36" s="2" t="str">
        <x:v>Datafolha</x:v>
      </x:c>
      <x:c r="C36" s="2" t="str">
        <x:v>Presencial em pontos de fluxo</x:v>
      </x:c>
      <x:c r="D36" s="2"/>
      <x:c r="E36" s="2" t="n">
        <x:v>2002</x:v>
      </x:c>
      <x:c r="F36" s="2" t="n">
        <x:v>2</x:v>
      </x:c>
      <x:c r="G36" s="2" t="n">
        <x:v>95</x:v>
      </x:c>
      <x:c r="H36" s="2" t="n">
        <x:v>1</x:v>
      </x:c>
      <x:c r="I36" s="2" t="str">
        <x:v>Estimulado</x:v>
      </x:c>
      <x:c r="J36" s="2" t="str">
        <x:v>Cenário 1 — sem Pablo Marçal</x:v>
      </x:c>
      <x:c r="K36" s="2" t="str">
        <x:v>Flávio</x:v>
      </x:c>
      <x:c r="L36" s="2" t="str">
        <x:v>Brasil</x:v>
      </x:c>
      <x:c r="M36" s="2" t="str">
        <x:v>Brasil</x:v>
      </x:c>
      <x:c r="N36" s="2" t="str">
        <x:v>Escolaridade</x:v>
      </x:c>
      <x:c r="O36" s="2" t="str">
        <x:v>Ensino superior</x:v>
      </x:c>
      <x:c r="P36" s="2"/>
      <x:c r="Q36" s="2" t="n">
        <x:v>30</x:v>
      </x:c>
      <x:c r="R36" s="2" t="n">
        <x:v>37</x:v>
      </x:c>
      <x:c r="S36" s="2"/>
      <x:c r="T36" s="2"/>
      <x:c r="U36" s="2" t="str">
        <x:v>Totais</x:v>
      </x:c>
    </x:row>
    <x:row r="37" ht="20" customHeight="1">
      <x:c r="A37" s="15" t="n">
        <x:v>46276</x:v>
      </x:c>
      <x:c r="B37" s="2" t="str">
        <x:v>Datafolha</x:v>
      </x:c>
      <x:c r="C37" s="2" t="str">
        <x:v>Presencial em pontos de fluxo</x:v>
      </x:c>
      <x:c r="D37" s="2"/>
      <x:c r="E37" s="2" t="n">
        <x:v>2002</x:v>
      </x:c>
      <x:c r="F37" s="2" t="n">
        <x:v>2</x:v>
      </x:c>
      <x:c r="G37" s="2" t="n">
        <x:v>95</x:v>
      </x:c>
      <x:c r="H37" s="2" t="n">
        <x:v>1</x:v>
      </x:c>
      <x:c r="I37" s="2" t="str">
        <x:v>Estimulado</x:v>
      </x:c>
      <x:c r="J37" s="2" t="str">
        <x:v>Cenário 1 — sem Pablo Marçal</x:v>
      </x:c>
      <x:c r="K37" s="2" t="str">
        <x:v>Flávio</x:v>
      </x:c>
      <x:c r="L37" s="2" t="str">
        <x:v>Brasil</x:v>
      </x:c>
      <x:c r="M37" s="2" t="str">
        <x:v>Brasil</x:v>
      </x:c>
      <x:c r="N37" s="2" t="str">
        <x:v>Região</x:v>
      </x:c>
      <x:c r="O37" s="2" t="str">
        <x:v>Nordeste</x:v>
      </x:c>
      <x:c r="P37" s="2"/>
      <x:c r="Q37" s="2" t="n">
        <x:v>53</x:v>
      </x:c>
      <x:c r="R37" s="2" t="n">
        <x:v>25</x:v>
      </x:c>
      <x:c r="S37" s="2"/>
      <x:c r="T37" s="2"/>
      <x:c r="U37" s="2" t="str">
        <x:v>Totais</x:v>
      </x:c>
    </x:row>
    <x:row r="38" ht="20" customHeight="1">
      <x:c r="A38" s="15" t="n">
        <x:v>46276</x:v>
      </x:c>
      <x:c r="B38" s="2" t="str">
        <x:v>Datafolha</x:v>
      </x:c>
      <x:c r="C38" s="2" t="str">
        <x:v>Presencial em pontos de fluxo</x:v>
      </x:c>
      <x:c r="D38" s="2"/>
      <x:c r="E38" s="2" t="n">
        <x:v>2002</x:v>
      </x:c>
      <x:c r="F38" s="2" t="n">
        <x:v>2</x:v>
      </x:c>
      <x:c r="G38" s="2" t="n">
        <x:v>95</x:v>
      </x:c>
      <x:c r="H38" s="2" t="n">
        <x:v>1</x:v>
      </x:c>
      <x:c r="I38" s="2" t="str">
        <x:v>Estimulado</x:v>
      </x:c>
      <x:c r="J38" s="2" t="str">
        <x:v>Cenário 1 — sem Pablo Marçal</x:v>
      </x:c>
      <x:c r="K38" s="2" t="str">
        <x:v>Flávio</x:v>
      </x:c>
      <x:c r="L38" s="2" t="str">
        <x:v>Brasil</x:v>
      </x:c>
      <x:c r="M38" s="2" t="str">
        <x:v>Brasil</x:v>
      </x:c>
      <x:c r="N38" s="2" t="str">
        <x:v>Região</x:v>
      </x:c>
      <x:c r="O38" s="2" t="str">
        <x:v>Sul</x:v>
      </x:c>
      <x:c r="P38" s="2"/>
      <x:c r="Q38" s="2" t="n">
        <x:v>29</x:v>
      </x:c>
      <x:c r="R38" s="2" t="n">
        <x:v>40</x:v>
      </x:c>
      <x:c r="S38" s="2"/>
      <x:c r="T38" s="2"/>
      <x:c r="U38" s="2" t="str">
        <x:v>Totais</x:v>
      </x:c>
    </x:row>
    <x:row r="39" ht="20" customHeight="1">
      <x:c r="A39" s="15" t="n">
        <x:v>46276</x:v>
      </x:c>
      <x:c r="B39" s="2" t="str">
        <x:v>Datafolha</x:v>
      </x:c>
      <x:c r="C39" s="2" t="str">
        <x:v>Presencial em pontos de fluxo</x:v>
      </x:c>
      <x:c r="D39" s="2"/>
      <x:c r="E39" s="2" t="n">
        <x:v>2002</x:v>
      </x:c>
      <x:c r="F39" s="2" t="n">
        <x:v>2</x:v>
      </x:c>
      <x:c r="G39" s="2" t="n">
        <x:v>95</x:v>
      </x:c>
      <x:c r="H39" s="2" t="n">
        <x:v>1</x:v>
      </x:c>
      <x:c r="I39" s="2" t="str">
        <x:v>Estimulado</x:v>
      </x:c>
      <x:c r="J39" s="2" t="str">
        <x:v>Cenário 1 — sem Pablo Marçal</x:v>
      </x:c>
      <x:c r="K39" s="2" t="str">
        <x:v>Flávio</x:v>
      </x:c>
      <x:c r="L39" s="2" t="str">
        <x:v>Brasil</x:v>
      </x:c>
      <x:c r="M39" s="2" t="str">
        <x:v>Brasil</x:v>
      </x:c>
      <x:c r="N39" s="2" t="str">
        <x:v>Região</x:v>
      </x:c>
      <x:c r="O39" s="2" t="str">
        <x:v>Sudeste</x:v>
      </x:c>
      <x:c r="P39" s="2"/>
      <x:c r="Q39" s="2" t="n">
        <x:v>35</x:v>
      </x:c>
      <x:c r="R39" s="2" t="n">
        <x:v>37</x:v>
      </x:c>
      <x:c r="S39" s="2"/>
      <x:c r="T39" s="2"/>
      <x:c r="U39" s="2" t="str">
        <x:v>Totais</x:v>
      </x:c>
    </x:row>
    <x:row r="40" ht="20" customHeight="1">
      <x:c r="A40" s="15" t="n">
        <x:v>46276</x:v>
      </x:c>
      <x:c r="B40" s="2" t="str">
        <x:v>Datafolha</x:v>
      </x:c>
      <x:c r="C40" s="2" t="str">
        <x:v>Presencial em pontos de fluxo</x:v>
      </x:c>
      <x:c r="D40" s="2"/>
      <x:c r="E40" s="2" t="n">
        <x:v>2002</x:v>
      </x:c>
      <x:c r="F40" s="2" t="n">
        <x:v>2</x:v>
      </x:c>
      <x:c r="G40" s="2" t="n">
        <x:v>95</x:v>
      </x:c>
      <x:c r="H40" s="2" t="n">
        <x:v>1</x:v>
      </x:c>
      <x:c r="I40" s="2" t="str">
        <x:v>Estimulado</x:v>
      </x:c>
      <x:c r="J40" s="2" t="str">
        <x:v>Cenário 1 — sem Pablo Marçal</x:v>
      </x:c>
      <x:c r="K40" s="2" t="str">
        <x:v>Flávio</x:v>
      </x:c>
      <x:c r="L40" s="2" t="str">
        <x:v>Brasil</x:v>
      </x:c>
      <x:c r="M40" s="2" t="str">
        <x:v>Brasil</x:v>
      </x:c>
      <x:c r="N40" s="2" t="str">
        <x:v>Região</x:v>
      </x:c>
      <x:c r="O40" s="2" t="str">
        <x:v>Centro-Oeste/Norte</x:v>
      </x:c>
      <x:c r="P40" s="2"/>
      <x:c r="Q40" s="2" t="n">
        <x:v>32</x:v>
      </x:c>
      <x:c r="R40" s="2" t="n">
        <x:v>40</x:v>
      </x:c>
      <x:c r="S40" s="2"/>
      <x:c r="T40" s="2"/>
      <x:c r="U40" s="2" t="str">
        <x:v>Totais</x:v>
      </x:c>
    </x:row>
    <x:row r="41" ht="20" customHeight="1">
      <x:c r="A41" s="15" t="n">
        <x:v>46276</x:v>
      </x:c>
      <x:c r="B41" s="2" t="str">
        <x:v>Datafolha</x:v>
      </x:c>
      <x:c r="C41" s="2" t="str">
        <x:v>Presencial em pontos de fluxo</x:v>
      </x:c>
      <x:c r="D41" s="2"/>
      <x:c r="E41" s="2" t="n">
        <x:v>2002</x:v>
      </x:c>
      <x:c r="F41" s="2" t="n">
        <x:v>2</x:v>
      </x:c>
      <x:c r="G41" s="2" t="n">
        <x:v>95</x:v>
      </x:c>
      <x:c r="H41" s="2" t="n">
        <x:v>1</x:v>
      </x:c>
      <x:c r="I41" s="2" t="str">
        <x:v>Estimulado</x:v>
      </x:c>
      <x:c r="J41" s="2" t="str">
        <x:v>Cenário 1 — sem Pablo Marçal</x:v>
      </x:c>
      <x:c r="K41" s="2" t="str">
        <x:v>Augusto Cury</x:v>
      </x:c>
      <x:c r="L41" s="2" t="str">
        <x:v>Brasil</x:v>
      </x:c>
      <x:c r="M41" s="2" t="str">
        <x:v>Brasil</x:v>
      </x:c>
      <x:c r="N41" s="2" t="str">
        <x:v>Idade</x:v>
      </x:c>
      <x:c r="O41" s="2" t="str">
        <x:v>16 a 24 anos</x:v>
      </x:c>
      <x:c r="P41" s="2"/>
      <x:c r="Q41" s="2" t="n">
        <x:v>36</x:v>
      </x:c>
      <x:c r="R41" s="2" t="n">
        <x:v>7</x:v>
      </x:c>
      <x:c r="S41" s="2"/>
      <x:c r="T41" s="2"/>
      <x:c r="U41" s="2" t="str">
        <x:v>Totais</x:v>
      </x:c>
    </x:row>
    <x:row r="42" ht="20" customHeight="1">
      <x:c r="A42" s="15" t="n">
        <x:v>46276</x:v>
      </x:c>
      <x:c r="B42" s="2" t="str">
        <x:v>Datafolha</x:v>
      </x:c>
      <x:c r="C42" s="2" t="str">
        <x:v>Presencial em pontos de fluxo</x:v>
      </x:c>
      <x:c r="D42" s="2"/>
      <x:c r="E42" s="2" t="n">
        <x:v>2002</x:v>
      </x:c>
      <x:c r="F42" s="2" t="n">
        <x:v>2</x:v>
      </x:c>
      <x:c r="G42" s="2" t="n">
        <x:v>95</x:v>
      </x:c>
      <x:c r="H42" s="2" t="n">
        <x:v>1</x:v>
      </x:c>
      <x:c r="I42" s="2" t="str">
        <x:v>Estimulado</x:v>
      </x:c>
      <x:c r="J42" s="2" t="str">
        <x:v>Cenário 1 — sem Pablo Marçal</x:v>
      </x:c>
      <x:c r="K42" s="2" t="str">
        <x:v>Ronaldo Caiado</x:v>
      </x:c>
      <x:c r="L42" s="2" t="str">
        <x:v>Brasil</x:v>
      </x:c>
      <x:c r="M42" s="2" t="str">
        <x:v>Brasil</x:v>
      </x:c>
      <x:c r="N42" s="2" t="str">
        <x:v>Idade</x:v>
      </x:c>
      <x:c r="O42" s="2" t="str">
        <x:v>16 a 24 anos</x:v>
      </x:c>
      <x:c r="P42" s="2"/>
      <x:c r="Q42" s="2" t="n">
        <x:v>36</x:v>
      </x:c>
      <x:c r="R42" s="2" t="n">
        <x:v>2</x:v>
      </x:c>
      <x:c r="S42" s="2"/>
      <x:c r="T42" s="2"/>
      <x:c r="U42" s="2" t="str">
        <x:v>Totais</x:v>
      </x:c>
    </x:row>
    <x:row r="43" ht="20" customHeight="1">
      <x:c r="A43" s="15" t="n">
        <x:v>46276</x:v>
      </x:c>
      <x:c r="B43" s="2" t="str">
        <x:v>Datafolha</x:v>
      </x:c>
      <x:c r="C43" s="2" t="str">
        <x:v>Presencial em pontos de fluxo</x:v>
      </x:c>
      <x:c r="D43" s="2"/>
      <x:c r="E43" s="2" t="n">
        <x:v>2002</x:v>
      </x:c>
      <x:c r="F43" s="2" t="n">
        <x:v>2</x:v>
      </x:c>
      <x:c r="G43" s="2" t="n">
        <x:v>95</x:v>
      </x:c>
      <x:c r="H43" s="2" t="n">
        <x:v>1</x:v>
      </x:c>
      <x:c r="I43" s="2" t="str">
        <x:v>Estimulado</x:v>
      </x:c>
      <x:c r="J43" s="2" t="str">
        <x:v>Cenário 1 — sem Pablo Marçal</x:v>
      </x:c>
      <x:c r="K43" s="2" t="str">
        <x:v>Renan Santos</x:v>
      </x:c>
      <x:c r="L43" s="2" t="str">
        <x:v>Brasil</x:v>
      </x:c>
      <x:c r="M43" s="2" t="str">
        <x:v>Brasil</x:v>
      </x:c>
      <x:c r="N43" s="2" t="str">
        <x:v>Idade</x:v>
      </x:c>
      <x:c r="O43" s="2" t="str">
        <x:v>16 a 24 anos</x:v>
      </x:c>
      <x:c r="P43" s="2"/>
      <x:c r="Q43" s="2" t="n">
        <x:v>36</x:v>
      </x:c>
      <x:c r="R43" s="2" t="n">
        <x:v>8</x:v>
      </x:c>
      <x:c r="S43" s="2"/>
      <x:c r="T43" s="2"/>
      <x:c r="U43" s="2" t="str">
        <x:v>Totais</x:v>
      </x:c>
    </x:row>
    <x:row r="44" ht="20" customHeight="1">
      <x:c r="A44" s="15" t="n">
        <x:v>46276</x:v>
      </x:c>
      <x:c r="B44" s="2" t="str">
        <x:v>Datafolha</x:v>
      </x:c>
      <x:c r="C44" s="2" t="str">
        <x:v>Presencial em pontos de fluxo</x:v>
      </x:c>
      <x:c r="D44" s="2"/>
      <x:c r="E44" s="2" t="n">
        <x:v>2002</x:v>
      </x:c>
      <x:c r="F44" s="2" t="n">
        <x:v>2</x:v>
      </x:c>
      <x:c r="G44" s="2" t="n">
        <x:v>95</x:v>
      </x:c>
      <x:c r="H44" s="2" t="n">
        <x:v>1</x:v>
      </x:c>
      <x:c r="I44" s="2" t="str">
        <x:v>Estimulado</x:v>
      </x:c>
      <x:c r="J44" s="2" t="str">
        <x:v>Cenário 1 — sem Pablo Marçal</x:v>
      </x:c>
      <x:c r="K44" s="2" t="str">
        <x:v>Romeu Zema</x:v>
      </x:c>
      <x:c r="L44" s="2" t="str">
        <x:v>Brasil</x:v>
      </x:c>
      <x:c r="M44" s="2" t="str">
        <x:v>Brasil</x:v>
      </x:c>
      <x:c r="N44" s="2" t="str">
        <x:v>Idade</x:v>
      </x:c>
      <x:c r="O44" s="2" t="str">
        <x:v>16 a 24 anos</x:v>
      </x:c>
      <x:c r="P44" s="2"/>
      <x:c r="Q44" s="2" t="n">
        <x:v>36</x:v>
      </x:c>
      <x:c r="R44" s="2" t="n">
        <x:v>1</x:v>
      </x:c>
      <x:c r="S44" s="2"/>
      <x:c r="T44" s="2"/>
      <x:c r="U44" s="2" t="str">
        <x:v>Totais</x:v>
      </x:c>
    </x:row>
    <x:row r="45" ht="20" customHeight="1">
      <x:c r="A45" s="15" t="n">
        <x:v>46276</x:v>
      </x:c>
      <x:c r="B45" s="2" t="str">
        <x:v>Datafolha</x:v>
      </x:c>
      <x:c r="C45" s="2" t="str">
        <x:v>Presencial em pontos de fluxo</x:v>
      </x:c>
      <x:c r="D45" s="2"/>
      <x:c r="E45" s="2" t="n">
        <x:v>2002</x:v>
      </x:c>
      <x:c r="F45" s="2" t="n">
        <x:v>2</x:v>
      </x:c>
      <x:c r="G45" s="2" t="n">
        <x:v>95</x:v>
      </x:c>
      <x:c r="H45" s="2" t="n">
        <x:v>1</x:v>
      </x:c>
      <x:c r="I45" s="2" t="str">
        <x:v>Estimulado</x:v>
      </x:c>
      <x:c r="J45" s="2" t="str">
        <x:v>Cenário 1 — sem Pablo Marçal</x:v>
      </x:c>
      <x:c r="K45" s="2" t="str">
        <x:v>Augusto Cury</x:v>
      </x:c>
      <x:c r="L45" s="2" t="str">
        <x:v>Brasil</x:v>
      </x:c>
      <x:c r="M45" s="2" t="str">
        <x:v>Brasil</x:v>
      </x:c>
      <x:c r="N45" s="2" t="str">
        <x:v>Idade</x:v>
      </x:c>
      <x:c r="O45" s="2" t="str">
        <x:v>25 a 34 anos</x:v>
      </x:c>
      <x:c r="P45" s="2"/>
      <x:c r="Q45" s="2" t="n">
        <x:v>35</x:v>
      </x:c>
      <x:c r="R45" s="2" t="n">
        <x:v>6</x:v>
      </x:c>
      <x:c r="S45" s="2"/>
      <x:c r="T45" s="2"/>
      <x:c r="U45" s="2" t="str">
        <x:v>Totais</x:v>
      </x:c>
    </x:row>
    <x:row r="46" ht="20" customHeight="1">
      <x:c r="A46" s="15" t="n">
        <x:v>46276</x:v>
      </x:c>
      <x:c r="B46" s="2" t="str">
        <x:v>Datafolha</x:v>
      </x:c>
      <x:c r="C46" s="2" t="str">
        <x:v>Presencial em pontos de fluxo</x:v>
      </x:c>
      <x:c r="D46" s="2"/>
      <x:c r="E46" s="2" t="n">
        <x:v>2002</x:v>
      </x:c>
      <x:c r="F46" s="2" t="n">
        <x:v>2</x:v>
      </x:c>
      <x:c r="G46" s="2" t="n">
        <x:v>95</x:v>
      </x:c>
      <x:c r="H46" s="2" t="n">
        <x:v>1</x:v>
      </x:c>
      <x:c r="I46" s="2" t="str">
        <x:v>Estimulado</x:v>
      </x:c>
      <x:c r="J46" s="2" t="str">
        <x:v>Cenário 1 — sem Pablo Marçal</x:v>
      </x:c>
      <x:c r="K46" s="2" t="str">
        <x:v>Ronaldo Caiado</x:v>
      </x:c>
      <x:c r="L46" s="2" t="str">
        <x:v>Brasil</x:v>
      </x:c>
      <x:c r="M46" s="2" t="str">
        <x:v>Brasil</x:v>
      </x:c>
      <x:c r="N46" s="2" t="str">
        <x:v>Idade</x:v>
      </x:c>
      <x:c r="O46" s="2" t="str">
        <x:v>25 a 34 anos</x:v>
      </x:c>
      <x:c r="P46" s="2"/>
      <x:c r="Q46" s="2" t="n">
        <x:v>35</x:v>
      </x:c>
      <x:c r="R46" s="2" t="n">
        <x:v>3</x:v>
      </x:c>
      <x:c r="S46" s="2"/>
      <x:c r="T46" s="2"/>
      <x:c r="U46" s="2" t="str">
        <x:v>Totais</x:v>
      </x:c>
    </x:row>
    <x:row r="47" ht="20" customHeight="1">
      <x:c r="A47" s="15" t="n">
        <x:v>46276</x:v>
      </x:c>
      <x:c r="B47" s="2" t="str">
        <x:v>Datafolha</x:v>
      </x:c>
      <x:c r="C47" s="2" t="str">
        <x:v>Presencial em pontos de fluxo</x:v>
      </x:c>
      <x:c r="D47" s="2"/>
      <x:c r="E47" s="2" t="n">
        <x:v>2002</x:v>
      </x:c>
      <x:c r="F47" s="2" t="n">
        <x:v>2</x:v>
      </x:c>
      <x:c r="G47" s="2" t="n">
        <x:v>95</x:v>
      </x:c>
      <x:c r="H47" s="2" t="n">
        <x:v>1</x:v>
      </x:c>
      <x:c r="I47" s="2" t="str">
        <x:v>Estimulado</x:v>
      </x:c>
      <x:c r="J47" s="2" t="str">
        <x:v>Cenário 1 — sem Pablo Marçal</x:v>
      </x:c>
      <x:c r="K47" s="2" t="str">
        <x:v>Renan Santos</x:v>
      </x:c>
      <x:c r="L47" s="2" t="str">
        <x:v>Brasil</x:v>
      </x:c>
      <x:c r="M47" s="2" t="str">
        <x:v>Brasil</x:v>
      </x:c>
      <x:c r="N47" s="2" t="str">
        <x:v>Idade</x:v>
      </x:c>
      <x:c r="O47" s="2" t="str">
        <x:v>25 a 34 anos</x:v>
      </x:c>
      <x:c r="P47" s="2"/>
      <x:c r="Q47" s="2" t="n">
        <x:v>35</x:v>
      </x:c>
      <x:c r="R47" s="2" t="n">
        <x:v>4</x:v>
      </x:c>
      <x:c r="S47" s="2"/>
      <x:c r="T47" s="2"/>
      <x:c r="U47" s="2" t="str">
        <x:v>Totais</x:v>
      </x:c>
    </x:row>
    <x:row r="48" ht="20" customHeight="1">
      <x:c r="A48" s="15" t="n">
        <x:v>46276</x:v>
      </x:c>
      <x:c r="B48" s="2" t="str">
        <x:v>Datafolha</x:v>
      </x:c>
      <x:c r="C48" s="2" t="str">
        <x:v>Presencial em pontos de fluxo</x:v>
      </x:c>
      <x:c r="D48" s="2"/>
      <x:c r="E48" s="2" t="n">
        <x:v>2002</x:v>
      </x:c>
      <x:c r="F48" s="2" t="n">
        <x:v>2</x:v>
      </x:c>
      <x:c r="G48" s="2" t="n">
        <x:v>95</x:v>
      </x:c>
      <x:c r="H48" s="2" t="n">
        <x:v>1</x:v>
      </x:c>
      <x:c r="I48" s="2" t="str">
        <x:v>Estimulado</x:v>
      </x:c>
      <x:c r="J48" s="2" t="str">
        <x:v>Cenário 1 — sem Pablo Marçal</x:v>
      </x:c>
      <x:c r="K48" s="2" t="str">
        <x:v>Romeu Zema</x:v>
      </x:c>
      <x:c r="L48" s="2" t="str">
        <x:v>Brasil</x:v>
      </x:c>
      <x:c r="M48" s="2" t="str">
        <x:v>Brasil</x:v>
      </x:c>
      <x:c r="N48" s="2" t="str">
        <x:v>Idade</x:v>
      </x:c>
      <x:c r="O48" s="2" t="str">
        <x:v>25 a 34 anos</x:v>
      </x:c>
      <x:c r="P48" s="2"/>
      <x:c r="Q48" s="2" t="n">
        <x:v>35</x:v>
      </x:c>
      <x:c r="R48" s="2" t="n">
        <x:v>2</x:v>
      </x:c>
      <x:c r="S48" s="2"/>
      <x:c r="T48" s="2"/>
      <x:c r="U48" s="2" t="str">
        <x:v>Totais</x:v>
      </x:c>
    </x:row>
    <x:row r="49" ht="20" customHeight="1">
      <x:c r="A49" s="15" t="n">
        <x:v>46276</x:v>
      </x:c>
      <x:c r="B49" s="2" t="str">
        <x:v>Datafolha</x:v>
      </x:c>
      <x:c r="C49" s="2" t="str">
        <x:v>Presencial em pontos de fluxo</x:v>
      </x:c>
      <x:c r="D49" s="2"/>
      <x:c r="E49" s="2" t="n">
        <x:v>2002</x:v>
      </x:c>
      <x:c r="F49" s="2" t="n">
        <x:v>2</x:v>
      </x:c>
      <x:c r="G49" s="2" t="n">
        <x:v>95</x:v>
      </x:c>
      <x:c r="H49" s="2" t="n">
        <x:v>1</x:v>
      </x:c>
      <x:c r="I49" s="2" t="str">
        <x:v>Estimulado</x:v>
      </x:c>
      <x:c r="J49" s="2" t="str">
        <x:v>Cenário 1 — sem Pablo Marçal</x:v>
      </x:c>
      <x:c r="K49" s="2" t="str">
        <x:v>Augusto Cury</x:v>
      </x:c>
      <x:c r="L49" s="2" t="str">
        <x:v>Brasil</x:v>
      </x:c>
      <x:c r="M49" s="2" t="str">
        <x:v>Brasil</x:v>
      </x:c>
      <x:c r="N49" s="2" t="str">
        <x:v>Idade</x:v>
      </x:c>
      <x:c r="O49" s="2" t="str">
        <x:v>35 a 44 anos</x:v>
      </x:c>
      <x:c r="P49" s="2"/>
      <x:c r="Q49" s="2" t="n">
        <x:v>39</x:v>
      </x:c>
      <x:c r="R49" s="2" t="n">
        <x:v>9</x:v>
      </x:c>
      <x:c r="S49" s="2"/>
      <x:c r="T49" s="2"/>
      <x:c r="U49" s="2" t="str">
        <x:v>Totais</x:v>
      </x:c>
    </x:row>
    <x:row r="50" ht="20" customHeight="1">
      <x:c r="A50" s="15" t="n">
        <x:v>46276</x:v>
      </x:c>
      <x:c r="B50" s="2" t="str">
        <x:v>Datafolha</x:v>
      </x:c>
      <x:c r="C50" s="2" t="str">
        <x:v>Presencial em pontos de fluxo</x:v>
      </x:c>
      <x:c r="D50" s="2"/>
      <x:c r="E50" s="2" t="n">
        <x:v>2002</x:v>
      </x:c>
      <x:c r="F50" s="2" t="n">
        <x:v>2</x:v>
      </x:c>
      <x:c r="G50" s="2" t="n">
        <x:v>95</x:v>
      </x:c>
      <x:c r="H50" s="2" t="n">
        <x:v>1</x:v>
      </x:c>
      <x:c r="I50" s="2" t="str">
        <x:v>Estimulado</x:v>
      </x:c>
      <x:c r="J50" s="2" t="str">
        <x:v>Cenário 1 — sem Pablo Marçal</x:v>
      </x:c>
      <x:c r="K50" s="2" t="str">
        <x:v>Ronaldo Caiado</x:v>
      </x:c>
      <x:c r="L50" s="2" t="str">
        <x:v>Brasil</x:v>
      </x:c>
      <x:c r="M50" s="2" t="str">
        <x:v>Brasil</x:v>
      </x:c>
      <x:c r="N50" s="2" t="str">
        <x:v>Idade</x:v>
      </x:c>
      <x:c r="O50" s="2" t="str">
        <x:v>35 a 44 anos</x:v>
      </x:c>
      <x:c r="P50" s="2"/>
      <x:c r="Q50" s="2" t="n">
        <x:v>39</x:v>
      </x:c>
      <x:c r="R50" s="2" t="n">
        <x:v>3</x:v>
      </x:c>
      <x:c r="S50" s="2"/>
      <x:c r="T50" s="2"/>
      <x:c r="U50" s="2" t="str">
        <x:v>Totais</x:v>
      </x:c>
    </x:row>
    <x:row r="51" ht="20" customHeight="1">
      <x:c r="A51" s="15" t="n">
        <x:v>46276</x:v>
      </x:c>
      <x:c r="B51" s="2" t="str">
        <x:v>Datafolha</x:v>
      </x:c>
      <x:c r="C51" s="2" t="str">
        <x:v>Presencial em pontos de fluxo</x:v>
      </x:c>
      <x:c r="D51" s="2"/>
      <x:c r="E51" s="2" t="n">
        <x:v>2002</x:v>
      </x:c>
      <x:c r="F51" s="2" t="n">
        <x:v>2</x:v>
      </x:c>
      <x:c r="G51" s="2" t="n">
        <x:v>95</x:v>
      </x:c>
      <x:c r="H51" s="2" t="n">
        <x:v>1</x:v>
      </x:c>
      <x:c r="I51" s="2" t="str">
        <x:v>Estimulado</x:v>
      </x:c>
      <x:c r="J51" s="2" t="str">
        <x:v>Cenário 1 — sem Pablo Marçal</x:v>
      </x:c>
      <x:c r="K51" s="2" t="str">
        <x:v>Renan Santos</x:v>
      </x:c>
      <x:c r="L51" s="2" t="str">
        <x:v>Brasil</x:v>
      </x:c>
      <x:c r="M51" s="2" t="str">
        <x:v>Brasil</x:v>
      </x:c>
      <x:c r="N51" s="2" t="str">
        <x:v>Idade</x:v>
      </x:c>
      <x:c r="O51" s="2" t="str">
        <x:v>35 a 44 anos</x:v>
      </x:c>
      <x:c r="P51" s="2"/>
      <x:c r="Q51" s="2" t="n">
        <x:v>39</x:v>
      </x:c>
      <x:c r="R51" s="2" t="n">
        <x:v>2</x:v>
      </x:c>
      <x:c r="S51" s="2"/>
      <x:c r="T51" s="2"/>
      <x:c r="U51" s="2" t="str">
        <x:v>Totais</x:v>
      </x:c>
    </x:row>
    <x:row r="52" ht="20" customHeight="1">
      <x:c r="A52" s="15" t="n">
        <x:v>46276</x:v>
      </x:c>
      <x:c r="B52" s="2" t="str">
        <x:v>Datafolha</x:v>
      </x:c>
      <x:c r="C52" s="2" t="str">
        <x:v>Presencial em pontos de fluxo</x:v>
      </x:c>
      <x:c r="D52" s="2"/>
      <x:c r="E52" s="2" t="n">
        <x:v>2002</x:v>
      </x:c>
      <x:c r="F52" s="2" t="n">
        <x:v>2</x:v>
      </x:c>
      <x:c r="G52" s="2" t="n">
        <x:v>95</x:v>
      </x:c>
      <x:c r="H52" s="2" t="n">
        <x:v>1</x:v>
      </x:c>
      <x:c r="I52" s="2" t="str">
        <x:v>Estimulado</x:v>
      </x:c>
      <x:c r="J52" s="2" t="str">
        <x:v>Cenário 1 — sem Pablo Marçal</x:v>
      </x:c>
      <x:c r="K52" s="2" t="str">
        <x:v>Romeu Zema</x:v>
      </x:c>
      <x:c r="L52" s="2" t="str">
        <x:v>Brasil</x:v>
      </x:c>
      <x:c r="M52" s="2" t="str">
        <x:v>Brasil</x:v>
      </x:c>
      <x:c r="N52" s="2" t="str">
        <x:v>Idade</x:v>
      </x:c>
      <x:c r="O52" s="2" t="str">
        <x:v>35 a 44 anos</x:v>
      </x:c>
      <x:c r="P52" s="2"/>
      <x:c r="Q52" s="2" t="n">
        <x:v>39</x:v>
      </x:c>
      <x:c r="R52" s="2" t="n">
        <x:v>1</x:v>
      </x:c>
      <x:c r="S52" s="2"/>
      <x:c r="T52" s="2"/>
      <x:c r="U52" s="2" t="str">
        <x:v>Totais</x:v>
      </x:c>
    </x:row>
    <x:row r="53" ht="20" customHeight="1">
      <x:c r="A53" s="15" t="n">
        <x:v>46276</x:v>
      </x:c>
      <x:c r="B53" s="2" t="str">
        <x:v>Datafolha</x:v>
      </x:c>
      <x:c r="C53" s="2" t="str">
        <x:v>Presencial em pontos de fluxo</x:v>
      </x:c>
      <x:c r="D53" s="2"/>
      <x:c r="E53" s="2" t="n">
        <x:v>2002</x:v>
      </x:c>
      <x:c r="F53" s="2" t="n">
        <x:v>2</x:v>
      </x:c>
      <x:c r="G53" s="2" t="n">
        <x:v>95</x:v>
      </x:c>
      <x:c r="H53" s="2" t="n">
        <x:v>1</x:v>
      </x:c>
      <x:c r="I53" s="2" t="str">
        <x:v>Estimulado</x:v>
      </x:c>
      <x:c r="J53" s="2" t="str">
        <x:v>Cenário 1 — sem Pablo Marçal</x:v>
      </x:c>
      <x:c r="K53" s="2" t="str">
        <x:v>Augusto Cury</x:v>
      </x:c>
      <x:c r="L53" s="2" t="str">
        <x:v>Brasil</x:v>
      </x:c>
      <x:c r="M53" s="2" t="str">
        <x:v>Brasil</x:v>
      </x:c>
      <x:c r="N53" s="2" t="str">
        <x:v>Idade</x:v>
      </x:c>
      <x:c r="O53" s="2" t="str">
        <x:v>45 a 59 anos</x:v>
      </x:c>
      <x:c r="P53" s="2"/>
      <x:c r="Q53" s="2" t="n">
        <x:v>39</x:v>
      </x:c>
      <x:c r="R53" s="2" t="n">
        <x:v>4</x:v>
      </x:c>
      <x:c r="S53" s="2"/>
      <x:c r="T53" s="2"/>
      <x:c r="U53" s="2" t="str">
        <x:v>Totais</x:v>
      </x:c>
    </x:row>
    <x:row r="54" ht="20" customHeight="1">
      <x:c r="A54" s="15" t="n">
        <x:v>46276</x:v>
      </x:c>
      <x:c r="B54" s="2" t="str">
        <x:v>Datafolha</x:v>
      </x:c>
      <x:c r="C54" s="2" t="str">
        <x:v>Presencial em pontos de fluxo</x:v>
      </x:c>
      <x:c r="D54" s="2"/>
      <x:c r="E54" s="2" t="n">
        <x:v>2002</x:v>
      </x:c>
      <x:c r="F54" s="2" t="n">
        <x:v>2</x:v>
      </x:c>
      <x:c r="G54" s="2" t="n">
        <x:v>95</x:v>
      </x:c>
      <x:c r="H54" s="2" t="n">
        <x:v>1</x:v>
      </x:c>
      <x:c r="I54" s="2" t="str">
        <x:v>Estimulado</x:v>
      </x:c>
      <x:c r="J54" s="2" t="str">
        <x:v>Cenário 1 — sem Pablo Marçal</x:v>
      </x:c>
      <x:c r="K54" s="2" t="str">
        <x:v>Ronaldo Caiado</x:v>
      </x:c>
      <x:c r="L54" s="2" t="str">
        <x:v>Brasil</x:v>
      </x:c>
      <x:c r="M54" s="2" t="str">
        <x:v>Brasil</x:v>
      </x:c>
      <x:c r="N54" s="2" t="str">
        <x:v>Idade</x:v>
      </x:c>
      <x:c r="O54" s="2" t="str">
        <x:v>45 a 59 anos</x:v>
      </x:c>
      <x:c r="P54" s="2"/>
      <x:c r="Q54" s="2" t="n">
        <x:v>39</x:v>
      </x:c>
      <x:c r="R54" s="2" t="n">
        <x:v>4</x:v>
      </x:c>
      <x:c r="S54" s="2"/>
      <x:c r="T54" s="2"/>
      <x:c r="U54" s="2" t="str">
        <x:v>Totais</x:v>
      </x:c>
    </x:row>
    <x:row r="55" ht="20" customHeight="1">
      <x:c r="A55" s="15" t="n">
        <x:v>46276</x:v>
      </x:c>
      <x:c r="B55" s="2" t="str">
        <x:v>Datafolha</x:v>
      </x:c>
      <x:c r="C55" s="2" t="str">
        <x:v>Presencial em pontos de fluxo</x:v>
      </x:c>
      <x:c r="D55" s="2"/>
      <x:c r="E55" s="2" t="n">
        <x:v>2002</x:v>
      </x:c>
      <x:c r="F55" s="2" t="n">
        <x:v>2</x:v>
      </x:c>
      <x:c r="G55" s="2" t="n">
        <x:v>95</x:v>
      </x:c>
      <x:c r="H55" s="2" t="n">
        <x:v>1</x:v>
      </x:c>
      <x:c r="I55" s="2" t="str">
        <x:v>Estimulado</x:v>
      </x:c>
      <x:c r="J55" s="2" t="str">
        <x:v>Cenário 1 — sem Pablo Marçal</x:v>
      </x:c>
      <x:c r="K55" s="2" t="str">
        <x:v>Renan Santos</x:v>
      </x:c>
      <x:c r="L55" s="2" t="str">
        <x:v>Brasil</x:v>
      </x:c>
      <x:c r="M55" s="2" t="str">
        <x:v>Brasil</x:v>
      </x:c>
      <x:c r="N55" s="2" t="str">
        <x:v>Idade</x:v>
      </x:c>
      <x:c r="O55" s="2" t="str">
        <x:v>45 a 59 anos</x:v>
      </x:c>
      <x:c r="P55" s="2"/>
      <x:c r="Q55" s="2" t="n">
        <x:v>39</x:v>
      </x:c>
      <x:c r="R55" s="2" t="n">
        <x:v>2</x:v>
      </x:c>
      <x:c r="S55" s="2"/>
      <x:c r="T55" s="2"/>
      <x:c r="U55" s="2" t="str">
        <x:v>Totais</x:v>
      </x:c>
    </x:row>
    <x:row r="56" ht="20" customHeight="1">
      <x:c r="A56" s="15" t="n">
        <x:v>46276</x:v>
      </x:c>
      <x:c r="B56" s="2" t="str">
        <x:v>Datafolha</x:v>
      </x:c>
      <x:c r="C56" s="2" t="str">
        <x:v>Presencial em pontos de fluxo</x:v>
      </x:c>
      <x:c r="D56" s="2"/>
      <x:c r="E56" s="2" t="n">
        <x:v>2002</x:v>
      </x:c>
      <x:c r="F56" s="2" t="n">
        <x:v>2</x:v>
      </x:c>
      <x:c r="G56" s="2" t="n">
        <x:v>95</x:v>
      </x:c>
      <x:c r="H56" s="2" t="n">
        <x:v>1</x:v>
      </x:c>
      <x:c r="I56" s="2" t="str">
        <x:v>Estimulado</x:v>
      </x:c>
      <x:c r="J56" s="2" t="str">
        <x:v>Cenário 1 — sem Pablo Marçal</x:v>
      </x:c>
      <x:c r="K56" s="2" t="str">
        <x:v>Romeu Zema</x:v>
      </x:c>
      <x:c r="L56" s="2" t="str">
        <x:v>Brasil</x:v>
      </x:c>
      <x:c r="M56" s="2" t="str">
        <x:v>Brasil</x:v>
      </x:c>
      <x:c r="N56" s="2" t="str">
        <x:v>Idade</x:v>
      </x:c>
      <x:c r="O56" s="2" t="str">
        <x:v>45 a 59 anos</x:v>
      </x:c>
      <x:c r="P56" s="2"/>
      <x:c r="Q56" s="2" t="n">
        <x:v>39</x:v>
      </x:c>
      <x:c r="R56" s="2" t="n">
        <x:v>2</x:v>
      </x:c>
      <x:c r="S56" s="2"/>
      <x:c r="T56" s="2"/>
      <x:c r="U56" s="2" t="str">
        <x:v>Totais</x:v>
      </x:c>
    </x:row>
    <x:row r="57" ht="20" customHeight="1">
      <x:c r="A57" s="15" t="n">
        <x:v>46276</x:v>
      </x:c>
      <x:c r="B57" s="2" t="str">
        <x:v>Datafolha</x:v>
      </x:c>
      <x:c r="C57" s="2" t="str">
        <x:v>Presencial em pontos de fluxo</x:v>
      </x:c>
      <x:c r="D57" s="2"/>
      <x:c r="E57" s="2" t="n">
        <x:v>2002</x:v>
      </x:c>
      <x:c r="F57" s="2" t="n">
        <x:v>2</x:v>
      </x:c>
      <x:c r="G57" s="2" t="n">
        <x:v>95</x:v>
      </x:c>
      <x:c r="H57" s="2" t="n">
        <x:v>1</x:v>
      </x:c>
      <x:c r="I57" s="2" t="str">
        <x:v>Estimulado</x:v>
      </x:c>
      <x:c r="J57" s="2" t="str">
        <x:v>Cenário 1 — sem Pablo Marçal</x:v>
      </x:c>
      <x:c r="K57" s="2" t="str">
        <x:v>Augusto Cury</x:v>
      </x:c>
      <x:c r="L57" s="2" t="str">
        <x:v>Brasil</x:v>
      </x:c>
      <x:c r="M57" s="2" t="str">
        <x:v>Brasil</x:v>
      </x:c>
      <x:c r="N57" s="2" t="str">
        <x:v>Idade</x:v>
      </x:c>
      <x:c r="O57" s="2" t="str">
        <x:v>60 anos ou mais</x:v>
      </x:c>
      <x:c r="P57" s="2"/>
      <x:c r="Q57" s="2" t="n">
        <x:v>42</x:v>
      </x:c>
      <x:c r="R57" s="2" t="n">
        <x:v>3</x:v>
      </x:c>
      <x:c r="S57" s="2"/>
      <x:c r="T57" s="2"/>
      <x:c r="U57" s="2" t="str">
        <x:v>Totais</x:v>
      </x:c>
    </x:row>
    <x:row r="58" ht="20" customHeight="1">
      <x:c r="A58" s="15" t="n">
        <x:v>46276</x:v>
      </x:c>
      <x:c r="B58" s="2" t="str">
        <x:v>Datafolha</x:v>
      </x:c>
      <x:c r="C58" s="2" t="str">
        <x:v>Presencial em pontos de fluxo</x:v>
      </x:c>
      <x:c r="D58" s="2"/>
      <x:c r="E58" s="2" t="n">
        <x:v>2002</x:v>
      </x:c>
      <x:c r="F58" s="2" t="n">
        <x:v>2</x:v>
      </x:c>
      <x:c r="G58" s="2" t="n">
        <x:v>95</x:v>
      </x:c>
      <x:c r="H58" s="2" t="n">
        <x:v>1</x:v>
      </x:c>
      <x:c r="I58" s="2" t="str">
        <x:v>Estimulado</x:v>
      </x:c>
      <x:c r="J58" s="2" t="str">
        <x:v>Cenário 1 — sem Pablo Marçal</x:v>
      </x:c>
      <x:c r="K58" s="2" t="str">
        <x:v>Ronaldo Caiado</x:v>
      </x:c>
      <x:c r="L58" s="2" t="str">
        <x:v>Brasil</x:v>
      </x:c>
      <x:c r="M58" s="2" t="str">
        <x:v>Brasil</x:v>
      </x:c>
      <x:c r="N58" s="2" t="str">
        <x:v>Idade</x:v>
      </x:c>
      <x:c r="O58" s="2" t="str">
        <x:v>60 anos ou mais</x:v>
      </x:c>
      <x:c r="P58" s="2"/>
      <x:c r="Q58" s="2" t="n">
        <x:v>42</x:v>
      </x:c>
      <x:c r="R58" s="2" t="n">
        <x:v>6</x:v>
      </x:c>
      <x:c r="S58" s="2"/>
      <x:c r="T58" s="2"/>
      <x:c r="U58" s="2" t="str">
        <x:v>Totais</x:v>
      </x:c>
    </x:row>
    <x:row r="59" ht="20" customHeight="1">
      <x:c r="A59" s="15" t="n">
        <x:v>46276</x:v>
      </x:c>
      <x:c r="B59" s="2" t="str">
        <x:v>Datafolha</x:v>
      </x:c>
      <x:c r="C59" s="2" t="str">
        <x:v>Presencial em pontos de fluxo</x:v>
      </x:c>
      <x:c r="D59" s="2"/>
      <x:c r="E59" s="2" t="n">
        <x:v>2002</x:v>
      </x:c>
      <x:c r="F59" s="2" t="n">
        <x:v>2</x:v>
      </x:c>
      <x:c r="G59" s="2" t="n">
        <x:v>95</x:v>
      </x:c>
      <x:c r="H59" s="2" t="n">
        <x:v>1</x:v>
      </x:c>
      <x:c r="I59" s="2" t="str">
        <x:v>Estimulado</x:v>
      </x:c>
      <x:c r="J59" s="2" t="str">
        <x:v>Cenário 1 — sem Pablo Marçal</x:v>
      </x:c>
      <x:c r="K59" s="2" t="str">
        <x:v>Renan Santos</x:v>
      </x:c>
      <x:c r="L59" s="2" t="str">
        <x:v>Brasil</x:v>
      </x:c>
      <x:c r="M59" s="2" t="str">
        <x:v>Brasil</x:v>
      </x:c>
      <x:c r="N59" s="2" t="str">
        <x:v>Idade</x:v>
      </x:c>
      <x:c r="O59" s="2" t="str">
        <x:v>60 anos ou mais</x:v>
      </x:c>
      <x:c r="P59" s="2"/>
      <x:c r="Q59" s="2" t="n">
        <x:v>42</x:v>
      </x:c>
      <x:c r="R59" s="2" t="n">
        <x:v>0</x:v>
      </x:c>
      <x:c r="S59" s="2"/>
      <x:c r="T59" s="2"/>
      <x:c r="U59" s="2" t="str">
        <x:v>Totais</x:v>
      </x:c>
    </x:row>
    <x:row r="60" ht="20" customHeight="1">
      <x:c r="A60" s="15" t="n">
        <x:v>46276</x:v>
      </x:c>
      <x:c r="B60" s="2" t="str">
        <x:v>Datafolha</x:v>
      </x:c>
      <x:c r="C60" s="2" t="str">
        <x:v>Presencial em pontos de fluxo</x:v>
      </x:c>
      <x:c r="D60" s="2"/>
      <x:c r="E60" s="2" t="n">
        <x:v>2002</x:v>
      </x:c>
      <x:c r="F60" s="2" t="n">
        <x:v>2</x:v>
      </x:c>
      <x:c r="G60" s="2" t="n">
        <x:v>95</x:v>
      </x:c>
      <x:c r="H60" s="2" t="n">
        <x:v>1</x:v>
      </x:c>
      <x:c r="I60" s="2" t="str">
        <x:v>Estimulado</x:v>
      </x:c>
      <x:c r="J60" s="2" t="str">
        <x:v>Cenário 1 — sem Pablo Marçal</x:v>
      </x:c>
      <x:c r="K60" s="2" t="str">
        <x:v>Romeu Zema</x:v>
      </x:c>
      <x:c r="L60" s="2" t="str">
        <x:v>Brasil</x:v>
      </x:c>
      <x:c r="M60" s="2" t="str">
        <x:v>Brasil</x:v>
      </x:c>
      <x:c r="N60" s="2" t="str">
        <x:v>Idade</x:v>
      </x:c>
      <x:c r="O60" s="2" t="str">
        <x:v>60 anos ou mais</x:v>
      </x:c>
      <x:c r="P60" s="2"/>
      <x:c r="Q60" s="2" t="n">
        <x:v>42</x:v>
      </x:c>
      <x:c r="R60" s="2" t="n">
        <x:v>1</x:v>
      </x:c>
      <x:c r="S60" s="2"/>
      <x:c r="T60" s="2"/>
      <x:c r="U60" s="2" t="str">
        <x:v>Totais</x:v>
      </x:c>
    </x:row>
  </x:sheetData>
  <x:pageMargins left="0.7" right="0.7" top="0.75" bottom="0.75" header="0.3" footer="0.3"/>
  <x:tableParts count="1">
    <x:tablePart xmlns:r="http://schemas.openxmlformats.org/officeDocument/2006/relationships" r:id="R5d80df07a0394a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23" hidden="0" customWidth="1"/>
    <x:col min="5" max="5" width="14" hidden="0" customWidth="1"/>
    <x:col min="6" max="6" width="20" hidden="0" customWidth="1"/>
    <x:col min="7" max="7" width="16" hidden="0" customWidth="1"/>
    <x:col min="8" max="8" width="28" hidden="0" customWidth="1"/>
    <x:col min="9" max="9" width="18" hidden="0" customWidth="1"/>
    <x:col min="10" max="10" width="14" hidden="0" customWidth="1"/>
    <x:col min="11" max="11" width="15" hidden="0" customWidth="1"/>
    <x:col min="12" max="12" width="18" hidden="0" customWidth="1"/>
    <x:col min="13" max="13" width="17" hidden="0" customWidth="1"/>
    <x:col min="14" max="14" width="14" hidden="0" customWidth="1"/>
    <x:col min="15" max="15" width="17" hidden="0" customWidth="1"/>
    <x:col min="16" max="16" width="20" hidden="0" customWidth="1"/>
    <x:col min="17" max="17" width="17" hidden="0" customWidth="1"/>
    <x:col min="18" max="18" width="12" hidden="0" customWidth="1"/>
    <x:col min="19" max="19" width="15" hidden="0" customWidth="1"/>
    <x:col min="20" max="20" width="22" hidden="0" customWidth="1"/>
    <x:col min="21" max="21" width="19" hidden="0" customWidth="1"/>
    <x:col min="22" max="22" width="20" hidden="0" customWidth="1"/>
    <x:col min="23" max="23" width="25" hidden="0" customWidth="1"/>
    <x:col min="24" max="24" width="25" hidden="0" customWidth="1"/>
    <x:col min="25" max="25" width="15" hidden="0" customWidth="1"/>
    <x:col min="26" max="26" width="29" hidden="0" customWidth="1"/>
    <x:col min="27" max="27" width="34" hidden="0" customWidth="1"/>
    <x:col min="28" max="28" width="42" hidden="0" customWidth="1"/>
    <x:col min="29" max="29" width="20" hidden="0" customWidth="1"/>
    <x:col min="30" max="30" width="13" hidden="0" customWidth="1"/>
    <x:col min="31" max="31" width="45" hidden="0" customWidth="1"/>
  </x:cols>
  <x:sheetData>
    <x:row r="1" ht="42" customHeight="1">
      <x:c r="A1" s="14" t="str">
        <x:v>data_referencia</x:v>
      </x:c>
      <x:c r="B1" s="12" t="str">
        <x:v>periodo_publicado</x:v>
      </x:c>
      <x:c r="C1" s="12" t="str">
        <x:v>granularidade_data</x:v>
      </x:c>
      <x:c r="D1" s="12" t="str">
        <x:v>onda_publicada</x:v>
      </x:c>
      <x:c r="E1" s="12" t="str">
        <x:v>instituto</x:v>
      </x:c>
      <x:c r="F1" s="12" t="str">
        <x:v>candidato</x:v>
      </x:c>
      <x:c r="G1" s="12" t="str">
        <x:v>produto</x:v>
      </x:c>
      <x:c r="H1" s="12" t="str">
        <x:v>tipo_pesquisa</x:v>
      </x:c>
      <x:c r="I1" s="12" t="str">
        <x:v>frequencia_original</x:v>
      </x:c>
      <x:c r="J1" s="12" t="str">
        <x:v>amostra_total</x:v>
      </x:c>
      <x:c r="K1" s="12" t="str">
        <x:v>margem_erro_pp</x:v>
      </x:c>
      <x:c r="L1" s="12" t="str">
        <x:v>nivel_confianca_pct</x:v>
      </x:c>
      <x:c r="M1" s="12" t="str">
        <x:v>nivel_geografico</x:v>
      </x:c>
      <x:c r="N1" s="12" t="str">
        <x:v>geografia</x:v>
      </x:c>
      <x:c r="O1" s="12" t="str">
        <x:v>segmento_tipo</x:v>
      </x:c>
      <x:c r="P1" s="12" t="str">
        <x:v>segmento</x:v>
      </x:c>
      <x:c r="Q1" s="12" t="str">
        <x:v>amostra_segmento</x:v>
      </x:c>
      <x:c r="R1" s="12" t="str">
        <x:v>aprova_pct</x:v>
      </x:c>
      <x:c r="S1" s="12" t="str">
        <x:v>desaprova_pct</x:v>
      </x:c>
      <x:c r="T1" s="12" t="str">
        <x:v>aprovacao_liquida_pct</x:v>
      </x:c>
      <x:c r="U1" s="12" t="str">
        <x:v>aprovacao_ns_nr_pct</x:v>
      </x:c>
      <x:c r="V1" s="12" t="str">
        <x:v>merece_continuar_pct</x:v>
      </x:c>
      <x:c r="W1" s="12" t="str">
        <x:v>nao_merece_continuar_pct</x:v>
      </x:c>
      <x:c r="X1" s="12" t="str">
        <x:v>continuidade_ns_nr_pct</x:v>
      </x:c>
      <x:c r="Y1" s="12" t="str">
        <x:v>rejeicao_pct</x:v>
      </x:c>
      <x:c r="Z1" s="12" t="str">
        <x:v>tipo_rejeicao</x:v>
      </x:c>
      <x:c r="AA1" s="12" t="str">
        <x:v>pergunta_publicada</x:v>
      </x:c>
      <x:c r="AB1" s="12" t="str">
        <x:v>fonte_arquivo</x:v>
      </x:c>
      <x:c r="AC1" s="12" t="str">
        <x:v>fonte_aba</x:v>
      </x:c>
      <x:c r="AD1" s="12" t="str">
        <x:v>fonte_linha</x:v>
      </x:c>
      <x:c r="AE1" s="13" t="str">
        <x:v>observacoes</x:v>
      </x:c>
    </x:row>
    <x:row r="2" ht="42" customHeight="1">
      <x:c r="A2" s="15" t="n">
        <x:v>46276</x:v>
      </x:c>
      <x:c r="B2" s="2" t="str">
        <x:v>8 a 10 de setembro de 2026</x:v>
      </x:c>
      <x:c r="C2" s="2" t="str">
        <x:v>Período de campo</x:v>
      </x:c>
      <x:c r="D2" s="2" t="str">
        <x:v>Divulgada em 11/09/2026</x:v>
      </x:c>
      <x:c r="E2" s="2" t="str">
        <x:v>Datafolha</x:v>
      </x:c>
      <x:c r="F2" s="2" t="str">
        <x:v>Lula</x:v>
      </x:c>
      <x:c r="G2" s="2" t="str">
        <x:v>Aprovação</x:v>
      </x:c>
      <x:c r="H2" s="2" t="str">
        <x:v>Presencial em pontos de fluxo</x:v>
      </x:c>
      <x:c r="I2" s="2"/>
      <x:c r="J2" s="2" t="n">
        <x:v>2002</x:v>
      </x:c>
      <x:c r="K2" s="2" t="n">
        <x:v>2</x:v>
      </x:c>
      <x:c r="L2" s="2" t="n">
        <x:v>95</x:v>
      </x:c>
      <x:c r="M2" s="2" t="str">
        <x:v>Brasil</x:v>
      </x:c>
      <x:c r="N2" s="2" t="str">
        <x:v>Brasil</x:v>
      </x:c>
      <x:c r="O2" s="2" t="str">
        <x:v>Total</x:v>
      </x:c>
      <x:c r="P2" s="2" t="str">
        <x:v>Total</x:v>
      </x:c>
      <x:c r="Q2" s="2"/>
      <x:c r="R2" s="2" t="n">
        <x:v>47</x:v>
      </x:c>
      <x:c r="S2" s="2" t="n">
        <x:v>50</x:v>
      </x:c>
      <x:c r="T2" s="2" t="n">
        <x:f>IF(OR(R2="",S2=""),"",R2-S2)</x:f>
        <x:v>-3</x:v>
      </x:c>
      <x:c r="U2" s="2" t="n">
        <x:v>3</x:v>
      </x:c>
      <x:c r="V2" s="2"/>
      <x:c r="W2" s="2"/>
      <x:c r="X2" s="2"/>
      <x:c r="Y2" s="2"/>
      <x:c r="Z2" s="2"/>
      <x:c r="AA2" s="2"/>
      <x:c r="AB2" s="16" t="str">
        <x:v>[WEB] Rodada Datafolha presidencial — BR-01833/2026</x:v>
      </x:c>
      <x:c r="AC2" s="16" t="str">
        <x:v>Consolidação web</x:v>
      </x:c>
      <x:c r="AD2" s="16"/>
      <x:c r="AE2" s="16" t="str">
        <x:v>Aprovação líquida calculada por fórmula.</x:v>
      </x:c>
    </x:row>
    <x:row r="3" ht="42" customHeight="1">
      <x:c r="A3" s="15" t="n">
        <x:v>46276</x:v>
      </x:c>
      <x:c r="B3" s="2" t="str">
        <x:v>8 a 10 de setembro de 2026</x:v>
      </x:c>
      <x:c r="C3" s="2" t="str">
        <x:v>Período de campo</x:v>
      </x:c>
      <x:c r="D3" s="2" t="str">
        <x:v>Divulgada em 11/09/2026</x:v>
      </x:c>
      <x:c r="E3" s="2" t="str">
        <x:v>Datafolha</x:v>
      </x:c>
      <x:c r="F3" s="2" t="str">
        <x:v>Flávio</x:v>
      </x:c>
      <x:c r="G3" s="2" t="str">
        <x:v>Rejeição</x:v>
      </x:c>
      <x:c r="H3" s="2" t="str">
        <x:v>Presencial em pontos de fluxo</x:v>
      </x:c>
      <x:c r="I3" s="2"/>
      <x:c r="J3" s="2" t="n">
        <x:v>2002</x:v>
      </x:c>
      <x:c r="K3" s="2" t="n">
        <x:v>2</x:v>
      </x:c>
      <x:c r="L3" s="2" t="n">
        <x:v>95</x:v>
      </x:c>
      <x:c r="M3" s="2" t="str">
        <x:v>Brasil</x:v>
      </x:c>
      <x:c r="N3" s="2" t="str">
        <x:v>Brasil</x:v>
      </x:c>
      <x:c r="O3" s="2" t="str">
        <x:v>Total</x:v>
      </x:c>
      <x:c r="P3" s="2" t="str">
        <x:v>Total</x:v>
      </x:c>
      <x:c r="Q3" s="2"/>
      <x:c r="R3" s="2"/>
      <x:c r="S3" s="2"/>
      <x:c r="T3" s="2"/>
      <x:c r="U3" s="2"/>
      <x:c r="V3" s="2"/>
      <x:c r="W3" s="2"/>
      <x:c r="X3" s="2"/>
      <x:c r="Y3" s="2" t="n">
        <x:v>46</x:v>
      </x:c>
      <x:c r="Z3" s="2" t="str">
        <x:v>Não votaria de jeito nenhum</x:v>
      </x:c>
      <x:c r="AA3" s="2"/>
      <x:c r="AB3" s="16" t="str">
        <x:v>[WEB] Rodada Datafolha presidencial — BR-01833/2026</x:v>
      </x:c>
      <x:c r="AC3" s="16" t="str">
        <x:v>Consolidação web</x:v>
      </x:c>
      <x:c r="AD3" s="16"/>
      <x:c r="AE3" s="16" t="str">
        <x:v>Indicador por candidato; a soma das rejeições pode superar 100%.</x:v>
      </x:c>
    </x:row>
    <x:row r="4" ht="42" customHeight="1">
      <x:c r="A4" s="15" t="n">
        <x:v>46276</x:v>
      </x:c>
      <x:c r="B4" s="2" t="str">
        <x:v>8 a 10 de setembro de 2026</x:v>
      </x:c>
      <x:c r="C4" s="2" t="str">
        <x:v>Período de campo</x:v>
      </x:c>
      <x:c r="D4" s="2" t="str">
        <x:v>Divulgada em 11/09/2026</x:v>
      </x:c>
      <x:c r="E4" s="2" t="str">
        <x:v>Datafolha</x:v>
      </x:c>
      <x:c r="F4" s="2" t="str">
        <x:v>Lula</x:v>
      </x:c>
      <x:c r="G4" s="2" t="str">
        <x:v>Rejeição</x:v>
      </x:c>
      <x:c r="H4" s="2" t="str">
        <x:v>Presencial em pontos de fluxo</x:v>
      </x:c>
      <x:c r="I4" s="2"/>
      <x:c r="J4" s="2" t="n">
        <x:v>2002</x:v>
      </x:c>
      <x:c r="K4" s="2" t="n">
        <x:v>2</x:v>
      </x:c>
      <x:c r="L4" s="2" t="n">
        <x:v>95</x:v>
      </x:c>
      <x:c r="M4" s="2" t="str">
        <x:v>Brasil</x:v>
      </x:c>
      <x:c r="N4" s="2" t="str">
        <x:v>Brasil</x:v>
      </x:c>
      <x:c r="O4" s="2" t="str">
        <x:v>Total</x:v>
      </x:c>
      <x:c r="P4" s="2" t="str">
        <x:v>Total</x:v>
      </x:c>
      <x:c r="Q4" s="2"/>
      <x:c r="R4" s="2"/>
      <x:c r="S4" s="2"/>
      <x:c r="T4" s="2"/>
      <x:c r="U4" s="2"/>
      <x:c r="V4" s="2"/>
      <x:c r="W4" s="2"/>
      <x:c r="X4" s="2"/>
      <x:c r="Y4" s="2" t="n">
        <x:v>46</x:v>
      </x:c>
      <x:c r="Z4" s="2" t="str">
        <x:v>Não votaria de jeito nenhum</x:v>
      </x:c>
      <x:c r="AA4" s="2"/>
      <x:c r="AB4" s="16" t="str">
        <x:v>[WEB] Rodada Datafolha presidencial — BR-01833/2026</x:v>
      </x:c>
      <x:c r="AC4" s="16" t="str">
        <x:v>Consolidação web</x:v>
      </x:c>
      <x:c r="AD4" s="16"/>
      <x:c r="AE4" s="16" t="str">
        <x:v>Indicador por candidato; a soma das rejeições pode superar 100%.</x:v>
      </x:c>
    </x:row>
    <x:row r="5" ht="42" customHeight="1">
      <x:c r="A5" s="15" t="n">
        <x:v>46276</x:v>
      </x:c>
      <x:c r="B5" s="2" t="str">
        <x:v>8 a 10 de setembro de 2026</x:v>
      </x:c>
      <x:c r="C5" s="2" t="str">
        <x:v>Período de campo</x:v>
      </x:c>
      <x:c r="D5" s="2" t="str">
        <x:v>Divulgada em 11/09/2026</x:v>
      </x:c>
      <x:c r="E5" s="2" t="str">
        <x:v>Datafolha</x:v>
      </x:c>
      <x:c r="F5" s="2" t="str">
        <x:v>Renan Santos</x:v>
      </x:c>
      <x:c r="G5" s="2" t="str">
        <x:v>Rejeição</x:v>
      </x:c>
      <x:c r="H5" s="2" t="str">
        <x:v>Presencial em pontos de fluxo</x:v>
      </x:c>
      <x:c r="I5" s="2"/>
      <x:c r="J5" s="2" t="n">
        <x:v>2002</x:v>
      </x:c>
      <x:c r="K5" s="2" t="n">
        <x:v>2</x:v>
      </x:c>
      <x:c r="L5" s="2" t="n">
        <x:v>95</x:v>
      </x:c>
      <x:c r="M5" s="2" t="str">
        <x:v>Brasil</x:v>
      </x:c>
      <x:c r="N5" s="2" t="str">
        <x:v>Brasil</x:v>
      </x:c>
      <x:c r="O5" s="2" t="str">
        <x:v>Total</x:v>
      </x:c>
      <x:c r="P5" s="2" t="str">
        <x:v>Total</x:v>
      </x:c>
      <x:c r="Q5" s="2"/>
      <x:c r="R5" s="2"/>
      <x:c r="S5" s="2"/>
      <x:c r="T5" s="2"/>
      <x:c r="U5" s="2"/>
      <x:c r="V5" s="2"/>
      <x:c r="W5" s="2"/>
      <x:c r="X5" s="2"/>
      <x:c r="Y5" s="2" t="n">
        <x:v>17</x:v>
      </x:c>
      <x:c r="Z5" s="2" t="str">
        <x:v>Não votaria de jeito nenhum</x:v>
      </x:c>
      <x:c r="AA5" s="2"/>
      <x:c r="AB5" s="16" t="str">
        <x:v>[WEB] Rodada Datafolha presidencial — BR-01833/2026</x:v>
      </x:c>
      <x:c r="AC5" s="16" t="str">
        <x:v>Consolidação web</x:v>
      </x:c>
      <x:c r="AD5" s="16"/>
      <x:c r="AE5" s="16" t="str">
        <x:v>Indicador por candidato; a soma das rejeições pode superar 100%.</x:v>
      </x:c>
    </x:row>
    <x:row r="6" ht="42" customHeight="1">
      <x:c r="A6" s="15" t="n">
        <x:v>46276</x:v>
      </x:c>
      <x:c r="B6" s="2" t="str">
        <x:v>8 a 10 de setembro de 2026</x:v>
      </x:c>
      <x:c r="C6" s="2" t="str">
        <x:v>Período de campo</x:v>
      </x:c>
      <x:c r="D6" s="2" t="str">
        <x:v>Divulgada em 11/09/2026</x:v>
      </x:c>
      <x:c r="E6" s="2" t="str">
        <x:v>Datafolha</x:v>
      </x:c>
      <x:c r="F6" s="2" t="str">
        <x:v>Romeu Zema</x:v>
      </x:c>
      <x:c r="G6" s="2" t="str">
        <x:v>Rejeição</x:v>
      </x:c>
      <x:c r="H6" s="2" t="str">
        <x:v>Presencial em pontos de fluxo</x:v>
      </x:c>
      <x:c r="I6" s="2"/>
      <x:c r="J6" s="2" t="n">
        <x:v>2002</x:v>
      </x:c>
      <x:c r="K6" s="2" t="n">
        <x:v>2</x:v>
      </x:c>
      <x:c r="L6" s="2" t="n">
        <x:v>95</x:v>
      </x:c>
      <x:c r="M6" s="2" t="str">
        <x:v>Brasil</x:v>
      </x:c>
      <x:c r="N6" s="2" t="str">
        <x:v>Brasil</x:v>
      </x:c>
      <x:c r="O6" s="2" t="str">
        <x:v>Total</x:v>
      </x:c>
      <x:c r="P6" s="2" t="str">
        <x:v>Total</x:v>
      </x:c>
      <x:c r="Q6" s="2"/>
      <x:c r="R6" s="2"/>
      <x:c r="S6" s="2"/>
      <x:c r="T6" s="2"/>
      <x:c r="U6" s="2"/>
      <x:c r="V6" s="2"/>
      <x:c r="W6" s="2"/>
      <x:c r="X6" s="2"/>
      <x:c r="Y6" s="2" t="n">
        <x:v>16</x:v>
      </x:c>
      <x:c r="Z6" s="2" t="str">
        <x:v>Não votaria de jeito nenhum</x:v>
      </x:c>
      <x:c r="AA6" s="2"/>
      <x:c r="AB6" s="16" t="str">
        <x:v>[WEB] Rodada Datafolha presidencial — BR-01833/2026</x:v>
      </x:c>
      <x:c r="AC6" s="16" t="str">
        <x:v>Consolidação web</x:v>
      </x:c>
      <x:c r="AD6" s="16"/>
      <x:c r="AE6" s="16" t="str">
        <x:v>Indicador por candidato; a soma das rejeições pode superar 100%.</x:v>
      </x:c>
    </x:row>
    <x:row r="7" ht="42" customHeight="1">
      <x:c r="A7" s="15" t="n">
        <x:v>46276</x:v>
      </x:c>
      <x:c r="B7" s="2" t="str">
        <x:v>8 a 10 de setembro de 2026</x:v>
      </x:c>
      <x:c r="C7" s="2" t="str">
        <x:v>Período de campo</x:v>
      </x:c>
      <x:c r="D7" s="2" t="str">
        <x:v>Divulgada em 11/09/2026</x:v>
      </x:c>
      <x:c r="E7" s="2" t="str">
        <x:v>Datafolha</x:v>
      </x:c>
      <x:c r="F7" s="2" t="str">
        <x:v>Ronaldo Caiado</x:v>
      </x:c>
      <x:c r="G7" s="2" t="str">
        <x:v>Rejeição</x:v>
      </x:c>
      <x:c r="H7" s="2" t="str">
        <x:v>Presencial em pontos de fluxo</x:v>
      </x:c>
      <x:c r="I7" s="2"/>
      <x:c r="J7" s="2" t="n">
        <x:v>2002</x:v>
      </x:c>
      <x:c r="K7" s="2" t="n">
        <x:v>2</x:v>
      </x:c>
      <x:c r="L7" s="2" t="n">
        <x:v>95</x:v>
      </x:c>
      <x:c r="M7" s="2" t="str">
        <x:v>Brasil</x:v>
      </x:c>
      <x:c r="N7" s="2" t="str">
        <x:v>Brasil</x:v>
      </x:c>
      <x:c r="O7" s="2" t="str">
        <x:v>Total</x:v>
      </x:c>
      <x:c r="P7" s="2" t="str">
        <x:v>Total</x:v>
      </x:c>
      <x:c r="Q7" s="2"/>
      <x:c r="R7" s="2"/>
      <x:c r="S7" s="2"/>
      <x:c r="T7" s="2"/>
      <x:c r="U7" s="2"/>
      <x:c r="V7" s="2"/>
      <x:c r="W7" s="2"/>
      <x:c r="X7" s="2"/>
      <x:c r="Y7" s="2" t="n">
        <x:v>14</x:v>
      </x:c>
      <x:c r="Z7" s="2" t="str">
        <x:v>Não votaria de jeito nenhum</x:v>
      </x:c>
      <x:c r="AA7" s="2"/>
      <x:c r="AB7" s="16" t="str">
        <x:v>[WEB] Rodada Datafolha presidencial — BR-01833/2026</x:v>
      </x:c>
      <x:c r="AC7" s="16" t="str">
        <x:v>Consolidação web</x:v>
      </x:c>
      <x:c r="AD7" s="16"/>
      <x:c r="AE7" s="16" t="str">
        <x:v>Indicador por candidato; a soma das rejeições pode superar 100%.</x:v>
      </x:c>
    </x:row>
    <x:row r="8" ht="42" customHeight="1">
      <x:c r="A8" s="15" t="n">
        <x:v>46276</x:v>
      </x:c>
      <x:c r="B8" s="2" t="str">
        <x:v>8 a 10 de setembro de 2026</x:v>
      </x:c>
      <x:c r="C8" s="2" t="str">
        <x:v>Período de campo</x:v>
      </x:c>
      <x:c r="D8" s="2" t="str">
        <x:v>Divulgada em 11/09/2026</x:v>
      </x:c>
      <x:c r="E8" s="2" t="str">
        <x:v>Datafolha</x:v>
      </x:c>
      <x:c r="F8" s="2" t="str">
        <x:v>Rui Costa Pimenta</x:v>
      </x:c>
      <x:c r="G8" s="2" t="str">
        <x:v>Rejeição</x:v>
      </x:c>
      <x:c r="H8" s="2" t="str">
        <x:v>Presencial em pontos de fluxo</x:v>
      </x:c>
      <x:c r="I8" s="2"/>
      <x:c r="J8" s="2" t="n">
        <x:v>2002</x:v>
      </x:c>
      <x:c r="K8" s="2" t="n">
        <x:v>2</x:v>
      </x:c>
      <x:c r="L8" s="2" t="n">
        <x:v>95</x:v>
      </x:c>
      <x:c r="M8" s="2" t="str">
        <x:v>Brasil</x:v>
      </x:c>
      <x:c r="N8" s="2" t="str">
        <x:v>Brasil</x:v>
      </x:c>
      <x:c r="O8" s="2" t="str">
        <x:v>Total</x:v>
      </x:c>
      <x:c r="P8" s="2" t="str">
        <x:v>Total</x:v>
      </x:c>
      <x:c r="Q8" s="2"/>
      <x:c r="R8" s="2"/>
      <x:c r="S8" s="2"/>
      <x:c r="T8" s="2"/>
      <x:c r="U8" s="2"/>
      <x:c r="V8" s="2"/>
      <x:c r="W8" s="2"/>
      <x:c r="X8" s="2"/>
      <x:c r="Y8" s="2" t="n">
        <x:v>11</x:v>
      </x:c>
      <x:c r="Z8" s="2" t="str">
        <x:v>Não votaria de jeito nenhum</x:v>
      </x:c>
      <x:c r="AA8" s="2"/>
      <x:c r="AB8" s="16" t="str">
        <x:v>[WEB] Rodada Datafolha presidencial — BR-01833/2026</x:v>
      </x:c>
      <x:c r="AC8" s="16" t="str">
        <x:v>Consolidação web</x:v>
      </x:c>
      <x:c r="AD8" s="16"/>
      <x:c r="AE8" s="16" t="str">
        <x:v>Indicador por candidato; a soma das rejeições pode superar 100%.</x:v>
      </x:c>
    </x:row>
    <x:row r="9" ht="42" customHeight="1">
      <x:c r="A9" s="15" t="n">
        <x:v>46276</x:v>
      </x:c>
      <x:c r="B9" s="2" t="str">
        <x:v>8 a 10 de setembro de 2026</x:v>
      </x:c>
      <x:c r="C9" s="2" t="str">
        <x:v>Período de campo</x:v>
      </x:c>
      <x:c r="D9" s="2" t="str">
        <x:v>Divulgada em 11/09/2026</x:v>
      </x:c>
      <x:c r="E9" s="2" t="str">
        <x:v>Datafolha</x:v>
      </x:c>
      <x:c r="F9" s="2" t="str">
        <x:v>Augusto Cury</x:v>
      </x:c>
      <x:c r="G9" s="2" t="str">
        <x:v>Rejeição</x:v>
      </x:c>
      <x:c r="H9" s="2" t="str">
        <x:v>Presencial em pontos de fluxo</x:v>
      </x:c>
      <x:c r="I9" s="2"/>
      <x:c r="J9" s="2" t="n">
        <x:v>2002</x:v>
      </x:c>
      <x:c r="K9" s="2" t="n">
        <x:v>2</x:v>
      </x:c>
      <x:c r="L9" s="2" t="n">
        <x:v>95</x:v>
      </x:c>
      <x:c r="M9" s="2" t="str">
        <x:v>Brasil</x:v>
      </x:c>
      <x:c r="N9" s="2" t="str">
        <x:v>Brasil</x:v>
      </x:c>
      <x:c r="O9" s="2" t="str">
        <x:v>Total</x:v>
      </x:c>
      <x:c r="P9" s="2" t="str">
        <x:v>Total</x:v>
      </x:c>
      <x:c r="Q9" s="2"/>
      <x:c r="R9" s="2"/>
      <x:c r="S9" s="2"/>
      <x:c r="T9" s="2"/>
      <x:c r="U9" s="2"/>
      <x:c r="V9" s="2"/>
      <x:c r="W9" s="2"/>
      <x:c r="X9" s="2"/>
      <x:c r="Y9" s="2" t="n">
        <x:v>10</x:v>
      </x:c>
      <x:c r="Z9" s="2" t="str">
        <x:v>Não votaria de jeito nenhum</x:v>
      </x:c>
      <x:c r="AA9" s="2"/>
      <x:c r="AB9" s="16" t="str">
        <x:v>[WEB] Rodada Datafolha presidencial — BR-01833/2026</x:v>
      </x:c>
      <x:c r="AC9" s="16" t="str">
        <x:v>Consolidação web</x:v>
      </x:c>
      <x:c r="AD9" s="16"/>
      <x:c r="AE9" s="16" t="str">
        <x:v>Indicador por candidato; a soma das rejeições pode superar 100%.</x:v>
      </x:c>
    </x:row>
    <x:row r="10" ht="42" customHeight="1">
      <x:c r="A10" s="15" t="n">
        <x:v>46276</x:v>
      </x:c>
      <x:c r="B10" s="2" t="str">
        <x:v>8 a 10 de setembro de 2026</x:v>
      </x:c>
      <x:c r="C10" s="2" t="str">
        <x:v>Período de campo</x:v>
      </x:c>
      <x:c r="D10" s="2" t="str">
        <x:v>Divulgada em 11/09/2026</x:v>
      </x:c>
      <x:c r="E10" s="2" t="str">
        <x:v>Datafolha</x:v>
      </x:c>
      <x:c r="F10" s="2" t="str">
        <x:v>Edmilson Costa</x:v>
      </x:c>
      <x:c r="G10" s="2" t="str">
        <x:v>Rejeição</x:v>
      </x:c>
      <x:c r="H10" s="2" t="str">
        <x:v>Presencial em pontos de fluxo</x:v>
      </x:c>
      <x:c r="I10" s="2"/>
      <x:c r="J10" s="2" t="n">
        <x:v>2002</x:v>
      </x:c>
      <x:c r="K10" s="2" t="n">
        <x:v>2</x:v>
      </x:c>
      <x:c r="L10" s="2" t="n">
        <x:v>95</x:v>
      </x:c>
      <x:c r="M10" s="2" t="str">
        <x:v>Brasil</x:v>
      </x:c>
      <x:c r="N10" s="2" t="str">
        <x:v>Brasil</x:v>
      </x:c>
      <x:c r="O10" s="2" t="str">
        <x:v>Total</x:v>
      </x:c>
      <x:c r="P10" s="2" t="str">
        <x:v>Total</x:v>
      </x:c>
      <x:c r="Q10" s="2"/>
      <x:c r="R10" s="2"/>
      <x:c r="S10" s="2"/>
      <x:c r="T10" s="2"/>
      <x:c r="U10" s="2"/>
      <x:c r="V10" s="2"/>
      <x:c r="W10" s="2"/>
      <x:c r="X10" s="2"/>
      <x:c r="Y10" s="2" t="n">
        <x:v>9</x:v>
      </x:c>
      <x:c r="Z10" s="2" t="str">
        <x:v>Não votaria de jeito nenhum</x:v>
      </x:c>
      <x:c r="AA10" s="2"/>
      <x:c r="AB10" s="16" t="str">
        <x:v>[WEB] Rodada Datafolha presidencial — BR-01833/2026</x:v>
      </x:c>
      <x:c r="AC10" s="16" t="str">
        <x:v>Consolidação web</x:v>
      </x:c>
      <x:c r="AD10" s="16"/>
      <x:c r="AE10" s="16" t="str">
        <x:v>Indicador por candidato; a soma das rejeições pode superar 100%.</x:v>
      </x:c>
    </x:row>
    <x:row r="11" ht="42" customHeight="1">
      <x:c r="A11" s="15" t="n">
        <x:v>46276</x:v>
      </x:c>
      <x:c r="B11" s="2" t="str">
        <x:v>8 a 10 de setembro de 2026</x:v>
      </x:c>
      <x:c r="C11" s="2" t="str">
        <x:v>Período de campo</x:v>
      </x:c>
      <x:c r="D11" s="2" t="str">
        <x:v>Divulgada em 11/09/2026</x:v>
      </x:c>
      <x:c r="E11" s="2" t="str">
        <x:v>Datafolha</x:v>
      </x:c>
      <x:c r="F11" s="2" t="str">
        <x:v>Samara Martins</x:v>
      </x:c>
      <x:c r="G11" s="2" t="str">
        <x:v>Rejeição</x:v>
      </x:c>
      <x:c r="H11" s="2" t="str">
        <x:v>Presencial em pontos de fluxo</x:v>
      </x:c>
      <x:c r="I11" s="2"/>
      <x:c r="J11" s="2" t="n">
        <x:v>2002</x:v>
      </x:c>
      <x:c r="K11" s="2" t="n">
        <x:v>2</x:v>
      </x:c>
      <x:c r="L11" s="2" t="n">
        <x:v>95</x:v>
      </x:c>
      <x:c r="M11" s="2" t="str">
        <x:v>Brasil</x:v>
      </x:c>
      <x:c r="N11" s="2" t="str">
        <x:v>Brasil</x:v>
      </x:c>
      <x:c r="O11" s="2" t="str">
        <x:v>Total</x:v>
      </x:c>
      <x:c r="P11" s="2" t="str">
        <x:v>Total</x:v>
      </x:c>
      <x:c r="Q11" s="2"/>
      <x:c r="R11" s="2"/>
      <x:c r="S11" s="2"/>
      <x:c r="T11" s="2"/>
      <x:c r="U11" s="2"/>
      <x:c r="V11" s="2"/>
      <x:c r="W11" s="2"/>
      <x:c r="X11" s="2"/>
      <x:c r="Y11" s="2" t="n">
        <x:v>9</x:v>
      </x:c>
      <x:c r="Z11" s="2" t="str">
        <x:v>Não votaria de jeito nenhum</x:v>
      </x:c>
      <x:c r="AA11" s="2"/>
      <x:c r="AB11" s="16" t="str">
        <x:v>[WEB] Rodada Datafolha presidencial — BR-01833/2026</x:v>
      </x:c>
      <x:c r="AC11" s="16" t="str">
        <x:v>Consolidação web</x:v>
      </x:c>
      <x:c r="AD11" s="16"/>
      <x:c r="AE11" s="16" t="str">
        <x:v>Indicador por candidato; a soma das rejeições pode superar 100%.</x:v>
      </x:c>
    </x:row>
    <x:row r="12" ht="42" customHeight="1">
      <x:c r="A12" s="15" t="n">
        <x:v>46276</x:v>
      </x:c>
      <x:c r="B12" s="2" t="str">
        <x:v>8 a 10 de setembro de 2026</x:v>
      </x:c>
      <x:c r="C12" s="2" t="str">
        <x:v>Período de campo</x:v>
      </x:c>
      <x:c r="D12" s="2" t="str">
        <x:v>Divulgada em 11/09/2026</x:v>
      </x:c>
      <x:c r="E12" s="2" t="str">
        <x:v>Datafolha</x:v>
      </x:c>
      <x:c r="F12" s="2" t="str">
        <x:v>Clariana Barão</x:v>
      </x:c>
      <x:c r="G12" s="2" t="str">
        <x:v>Rejeição</x:v>
      </x:c>
      <x:c r="H12" s="2" t="str">
        <x:v>Presencial em pontos de fluxo</x:v>
      </x:c>
      <x:c r="I12" s="2"/>
      <x:c r="J12" s="2" t="n">
        <x:v>2002</x:v>
      </x:c>
      <x:c r="K12" s="2" t="n">
        <x:v>2</x:v>
      </x:c>
      <x:c r="L12" s="2" t="n">
        <x:v>95</x:v>
      </x:c>
      <x:c r="M12" s="2" t="str">
        <x:v>Brasil</x:v>
      </x:c>
      <x:c r="N12" s="2" t="str">
        <x:v>Brasil</x:v>
      </x:c>
      <x:c r="O12" s="2" t="str">
        <x:v>Total</x:v>
      </x:c>
      <x:c r="P12" s="2" t="str">
        <x:v>Total</x:v>
      </x:c>
      <x:c r="Q12" s="2"/>
      <x:c r="R12" s="2"/>
      <x:c r="S12" s="2"/>
      <x:c r="T12" s="2"/>
      <x:c r="U12" s="2"/>
      <x:c r="V12" s="2"/>
      <x:c r="W12" s="2"/>
      <x:c r="X12" s="2"/>
      <x:c r="Y12" s="2" t="n">
        <x:v>7</x:v>
      </x:c>
      <x:c r="Z12" s="2" t="str">
        <x:v>Não votaria de jeito nenhum</x:v>
      </x:c>
      <x:c r="AA12" s="2"/>
      <x:c r="AB12" s="16" t="str">
        <x:v>[WEB] Rodada Datafolha presidencial — BR-01833/2026</x:v>
      </x:c>
      <x:c r="AC12" s="16" t="str">
        <x:v>Consolidação web</x:v>
      </x:c>
      <x:c r="AD12" s="16"/>
      <x:c r="AE12" s="16" t="str">
        <x:v>Indicador por candidato; a soma das rejeições pode superar 100%.</x:v>
      </x:c>
    </x:row>
    <x:row r="13" ht="42" customHeight="1">
      <x:c r="A13" s="15" t="n">
        <x:v>46276</x:v>
      </x:c>
      <x:c r="B13" s="2" t="str">
        <x:v>8 a 10 de setembro de 2026</x:v>
      </x:c>
      <x:c r="C13" s="2" t="str">
        <x:v>Período de campo</x:v>
      </x:c>
      <x:c r="D13" s="2" t="str">
        <x:v>Divulgada em 11/09/2026</x:v>
      </x:c>
      <x:c r="E13" s="2" t="str">
        <x:v>Datafolha</x:v>
      </x:c>
      <x:c r="F13" s="2" t="str">
        <x:v>Hertz Dias</x:v>
      </x:c>
      <x:c r="G13" s="2" t="str">
        <x:v>Rejeição</x:v>
      </x:c>
      <x:c r="H13" s="2" t="str">
        <x:v>Presencial em pontos de fluxo</x:v>
      </x:c>
      <x:c r="I13" s="2"/>
      <x:c r="J13" s="2" t="n">
        <x:v>2002</x:v>
      </x:c>
      <x:c r="K13" s="2" t="n">
        <x:v>2</x:v>
      </x:c>
      <x:c r="L13" s="2" t="n">
        <x:v>95</x:v>
      </x:c>
      <x:c r="M13" s="2" t="str">
        <x:v>Brasil</x:v>
      </x:c>
      <x:c r="N13" s="2" t="str">
        <x:v>Brasil</x:v>
      </x:c>
      <x:c r="O13" s="2" t="str">
        <x:v>Total</x:v>
      </x:c>
      <x:c r="P13" s="2" t="str">
        <x:v>Total</x:v>
      </x:c>
      <x:c r="Q13" s="2"/>
      <x:c r="R13" s="2"/>
      <x:c r="S13" s="2"/>
      <x:c r="T13" s="2"/>
      <x:c r="U13" s="2"/>
      <x:c r="V13" s="2"/>
      <x:c r="W13" s="2"/>
      <x:c r="X13" s="2"/>
      <x:c r="Y13" s="2" t="n">
        <x:v>7</x:v>
      </x:c>
      <x:c r="Z13" s="2" t="str">
        <x:v>Não votaria de jeito nenhum</x:v>
      </x:c>
      <x:c r="AA13" s="2"/>
      <x:c r="AB13" s="16" t="str">
        <x:v>[WEB] Rodada Datafolha presidencial — BR-01833/2026</x:v>
      </x:c>
      <x:c r="AC13" s="16" t="str">
        <x:v>Consolidação web</x:v>
      </x:c>
      <x:c r="AD13" s="16"/>
      <x:c r="AE13" s="16" t="str">
        <x:v>Indicador por candidato; a soma das rejeições pode superar 100%.</x:v>
      </x:c>
    </x:row>
    <x:row r="14" ht="42" customHeight="1">
      <x:c r="A14" s="15" t="n">
        <x:v>46276</x:v>
      </x:c>
      <x:c r="B14" s="2" t="str">
        <x:v>8 a 10 de setembro de 2026</x:v>
      </x:c>
      <x:c r="C14" s="2" t="str">
        <x:v>Período de campo</x:v>
      </x:c>
      <x:c r="D14" s="2" t="str">
        <x:v>Divulgada em 11/09/2026</x:v>
      </x:c>
      <x:c r="E14" s="2" t="str">
        <x:v>Datafolha</x:v>
      </x:c>
      <x:c r="F14" s="2" t="str">
        <x:v>Wilson Grassi</x:v>
      </x:c>
      <x:c r="G14" s="2" t="str">
        <x:v>Rejeição</x:v>
      </x:c>
      <x:c r="H14" s="2" t="str">
        <x:v>Presencial em pontos de fluxo</x:v>
      </x:c>
      <x:c r="I14" s="2"/>
      <x:c r="J14" s="2" t="n">
        <x:v>2002</x:v>
      </x:c>
      <x:c r="K14" s="2" t="n">
        <x:v>2</x:v>
      </x:c>
      <x:c r="L14" s="2" t="n">
        <x:v>95</x:v>
      </x:c>
      <x:c r="M14" s="2" t="str">
        <x:v>Brasil</x:v>
      </x:c>
      <x:c r="N14" s="2" t="str">
        <x:v>Brasil</x:v>
      </x:c>
      <x:c r="O14" s="2" t="str">
        <x:v>Total</x:v>
      </x:c>
      <x:c r="P14" s="2" t="str">
        <x:v>Total</x:v>
      </x:c>
      <x:c r="Q14" s="2"/>
      <x:c r="R14" s="2"/>
      <x:c r="S14" s="2"/>
      <x:c r="T14" s="2"/>
      <x:c r="U14" s="2"/>
      <x:c r="V14" s="2"/>
      <x:c r="W14" s="2"/>
      <x:c r="X14" s="2"/>
      <x:c r="Y14" s="2" t="n">
        <x:v>7</x:v>
      </x:c>
      <x:c r="Z14" s="2" t="str">
        <x:v>Não votaria de jeito nenhum</x:v>
      </x:c>
      <x:c r="AA14" s="2"/>
      <x:c r="AB14" s="16" t="str">
        <x:v>[WEB] Rodada Datafolha presidencial — BR-01833/2026</x:v>
      </x:c>
      <x:c r="AC14" s="16" t="str">
        <x:v>Consolidação web</x:v>
      </x:c>
      <x:c r="AD14" s="16"/>
      <x:c r="AE14" s="16" t="str">
        <x:v>Indicador por candidato; a soma das rejeições pode superar 100%.</x:v>
      </x:c>
    </x:row>
  </x:sheetData>
  <x:pageMargins left="0.7" right="0.7" top="0.75" bottom="0.75" header="0.3" footer="0.3"/>
  <x:tableParts count="1">
    <x:tablePart xmlns:r="http://schemas.openxmlformats.org/officeDocument/2006/relationships" r:id="R7eb8530837d846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42" customHeight="1">
      <x:c r="A1" s="14" t="str">
        <x:v>instituto</x:v>
      </x:c>
      <x:c r="B1" s="12" t="str">
        <x:v>aliases</x:v>
      </x:c>
      <x:c r="C1" s="12" t="str">
        <x:v>peso_legacy</x:v>
      </x:c>
      <x:c r="D1" s="13" t="str">
        <x:v>situacao</x:v>
      </x:c>
    </x:row>
  </x:sheetData>
  <x:pageMargins left="0.7" right="0.7" top="0.75" bottom="0.75" header="0.3" footer="0.3"/>
  <x:tableParts count="1">
    <x:tablePart xmlns:r="http://schemas.openxmlformats.org/officeDocument/2006/relationships" r:id="R0bccf43d3b7543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2" hidden="0" customWidth="1"/>
    <x:col min="7" max="7" width="42" hidden="0" customWidth="1"/>
    <x:col min="8" max="8" width="12" hidden="0" customWidth="1"/>
    <x:col min="9" max="9" width="14" hidden="0" customWidth="1"/>
    <x:col min="10" max="10" width="18" hidden="0" customWidth="1"/>
    <x:col min="11" max="11" width="58" hidden="0" customWidth="1"/>
    <x:col min="12" max="12" width="22" hidden="0" customWidth="1"/>
  </x:cols>
  <x:sheetData>
    <x:row r="1" ht="42" customHeight="1">
      <x:c r="A1" s="14" t="str">
        <x:v>arquivo_pdf</x:v>
      </x:c>
      <x:c r="B1" s="12" t="str">
        <x:v>instituto</x:v>
      </x:c>
      <x:c r="C1" s="12" t="str">
        <x:v>paginas</x:v>
      </x:c>
      <x:c r="D1" s="12" t="str">
        <x:v>tipo_dado</x:v>
      </x:c>
      <x:c r="E1" s="12" t="str">
        <x:v>recortes</x:v>
      </x:c>
      <x:c r="F1" s="12" t="str">
        <x:v>extraido</x:v>
      </x:c>
      <x:c r="G1" s="12" t="str">
        <x:v>motivo</x:v>
      </x:c>
      <x:c r="H1" s="12" t="str">
        <x:v>duplicata</x:v>
      </x:c>
      <x:c r="I1" s="12" t="str">
        <x:v>linhas_lidas</x:v>
      </x:c>
      <x:c r="J1" s="12" t="str">
        <x:v>linhas_adicionadas</x:v>
      </x:c>
      <x:c r="K1" s="12" t="str">
        <x:v>observacoes</x:v>
      </x:c>
      <x:c r="L1" s="13" t="str">
        <x:v>risco_aproximacao</x:v>
      </x:c>
    </x:row>
    <x:row r="2" ht="62" customHeight="1">
      <x:c r="A2" s="17" t="str">
        <x:v>[WEB] G1 — Datafolha presidente — 11/09/2026 (link fornecido pelo usuário)</x:v>
      </x:c>
      <x:c r="B2" s="16" t="str">
        <x:v>Datafolha</x:v>
      </x:c>
      <x:c r="C2" s="16"/>
      <x:c r="D2" s="16" t="str">
        <x:v>Intenção de voto; avaliação; aprovação; rejeição</x:v>
      </x:c>
      <x:c r="E2" s="16" t="str">
        <x:v>Brasil</x:v>
      </x:c>
      <x:c r="F2" s="16" t="str">
        <x:v>Não</x:v>
      </x:c>
      <x:c r="G2" s="16" t="str">
        <x:v>A página do G1 não abriu nos acessos automatizados disponíveis.</x:v>
      </x:c>
      <x:c r="H2" s="16" t="str">
        <x:v>Não</x:v>
      </x:c>
      <x:c r="I2" s="16" t="n">
        <x:v>0</x:v>
      </x:c>
      <x:c r="J2" s="16" t="n">
        <x:v>0</x:v>
      </x:c>
      <x:c r="K2" s="16" t="str">
        <x:v>Conteúdo recuperado por matérias espelho e pela cobertura da Folha, contratante da pesquisa.</x:v>
      </x:c>
      <x:c r="L2" s="16" t="str">
        <x:v>Médio</x:v>
      </x:c>
    </x:row>
    <x:row r="3" ht="62" customHeight="1">
      <x:c r="A3" s="17" t="str">
        <x:v>[WEB] G1 — recortes do cenário 1 — 12/09/2026 (link fornecido pelo usuário)</x:v>
      </x:c>
      <x:c r="B3" s="16" t="str">
        <x:v>Datafolha</x:v>
      </x:c>
      <x:c r="C3" s="16"/>
      <x:c r="D3" s="16" t="str">
        <x:v>Intenção de voto — recortes</x:v>
      </x:c>
      <x:c r="E3" s="16" t="str">
        <x:v>Sexo; idade; renda; religião; escolaridade; região</x:v>
      </x:c>
      <x:c r="F3" s="16" t="str">
        <x:v>Não</x:v>
      </x:c>
      <x:c r="G3" s="16" t="str">
        <x:v>A página do G1 não abriu nos acessos automatizados disponíveis.</x:v>
      </x:c>
      <x:c r="H3" s="16" t="str">
        <x:v>Não</x:v>
      </x:c>
      <x:c r="I3" s="16" t="n">
        <x:v>0</x:v>
      </x:c>
      <x:c r="J3" s="16" t="n">
        <x:v>0</x:v>
      </x:c>
      <x:c r="K3" s="16" t="str">
        <x:v>Recortes recuperados pela Folha, Poder360 e Itatiaia. Campos não publicados nessas fontes ficaram vazios.</x:v>
      </x:c>
      <x:c r="L3" s="16" t="str">
        <x:v>Médio</x:v>
      </x:c>
    </x:row>
    <x:row r="4" ht="62" customHeight="1">
      <x:c r="A4" s="17" t="str">
        <x:v>[WEB] Folha de S.Paulo — pesquisa nacional, recortes, avaliação e rejeição — 11/09/2026</x:v>
      </x:c>
      <x:c r="B4" s="16" t="str">
        <x:v>Datafolha</x:v>
      </x:c>
      <x:c r="C4" s="16"/>
      <x:c r="D4" s="16" t="str">
        <x:v>Intenção de voto; avaliação; aprovação; rejeição</x:v>
      </x:c>
      <x:c r="E4" s="16" t="str">
        <x:v>Brasil; sexo; idade; renda; religião; escolaridade; região</x:v>
      </x:c>
      <x:c r="F4" s="16" t="str">
        <x:v>Sim</x:v>
      </x:c>
      <x:c r="G4" s="16"/>
      <x:c r="H4" s="16" t="str">
        <x:v>Não</x:v>
      </x:c>
      <x:c r="I4" s="16" t="n">
        <x:v>73</x:v>
      </x:c>
      <x:c r="J4" s="16" t="n">
        <x:v>73</x:v>
      </x:c>
      <x:c r="K4" s="16" t="str">
        <x:v>Fonte principal. Pesquisa registrada sob BR-01833/2026; relatório/PDF público não localizado. No cenário 1, as categorias publicadas somam 103%; os valores foram preservados sem residual.</x:v>
      </x:c>
      <x:c r="L4" s="16" t="str">
        <x:v>Baixo a médio</x:v>
      </x:c>
    </x:row>
    <x:row r="5" ht="62" customHeight="1">
      <x:c r="A5" s="17" t="str">
        <x:v>[WEB] CNN Brasil — Datafolha 2º turno — 11/09/2026</x:v>
      </x:c>
      <x:c r="B5" s="16" t="str">
        <x:v>Datafolha</x:v>
      </x:c>
      <x:c r="C5" s="16"/>
      <x:c r="D5" s="16" t="str">
        <x:v>Intenção de voto — segundo turno</x:v>
      </x:c>
      <x:c r="E5" s="16" t="str">
        <x:v>Brasil</x:v>
      </x:c>
      <x:c r="F5" s="16" t="str">
        <x:v>Sim</x:v>
      </x:c>
      <x:c r="G5" s="16"/>
      <x:c r="H5" s="16" t="str">
        <x:v>Não</x:v>
      </x:c>
      <x:c r="I5" s="16" t="n">
        <x:v>5</x:v>
      </x:c>
      <x:c r="J5" s="16" t="n">
        <x:v>0</x:v>
      </x:c>
      <x:c r="K5" s="16" t="str">
        <x:v>Fonte usada para conferir candidatos, brancos/nulos/nenhum e indecisos nos cinco cenários.</x:v>
      </x:c>
      <x:c r="L5" s="16" t="str">
        <x:v>Baixo</x:v>
      </x:c>
    </x:row>
    <x:row r="6" ht="62" customHeight="1">
      <x:c r="A6" s="17" t="str">
        <x:v>[WEB] Itatiaia — Datafolha por idade — 12/09/2026</x:v>
      </x:c>
      <x:c r="B6" s="16" t="str">
        <x:v>Datafolha</x:v>
      </x:c>
      <x:c r="C6" s="16"/>
      <x:c r="D6" s="16" t="str">
        <x:v>Intenção de voto — recortes etários</x:v>
      </x:c>
      <x:c r="E6" s="16" t="str">
        <x:v>Idade</x:v>
      </x:c>
      <x:c r="F6" s="16" t="str">
        <x:v>Sim</x:v>
      </x:c>
      <x:c r="G6" s="16"/>
      <x:c r="H6" s="16" t="str">
        <x:v>Não</x:v>
      </x:c>
      <x:c r="I6" s="16" t="n">
        <x:v>25</x:v>
      </x:c>
      <x:c r="J6" s="16" t="n">
        <x:v>0</x:v>
      </x:c>
      <x:c r="K6" s="16" t="str">
        <x:v>Fonte usada para recuperar os percentuais dos seis principais candidatos por faixa etária.</x:v>
      </x:c>
      <x:c r="L6" s="16" t="str">
        <x:v>Baixo a médio</x:v>
      </x:c>
    </x:row>
    <x:row r="7" ht="62" customHeight="1">
      <x:c r="A7" s="17" t="str">
        <x:v>[WEB] Terra/Estadão — aprovação, avaliação e rejeição — 11/09/2026</x:v>
      </x:c>
      <x:c r="B7" s="16" t="str">
        <x:v>Datafolha</x:v>
      </x:c>
      <x:c r="C7" s="16"/>
      <x:c r="D7" s="16" t="str">
        <x:v>Avaliação; aprovação; rejeição</x:v>
      </x:c>
      <x:c r="E7" s="16" t="str">
        <x:v>Brasil</x:v>
      </x:c>
      <x:c r="F7" s="16" t="str">
        <x:v>Sim</x:v>
      </x:c>
      <x:c r="G7" s="16"/>
      <x:c r="H7" s="16" t="str">
        <x:v>Não</x:v>
      </x:c>
      <x:c r="I7" s="16" t="n">
        <x:v>14</x:v>
      </x:c>
      <x:c r="J7" s="16" t="n">
        <x:v>0</x:v>
      </x:c>
      <x:c r="K7" s="16" t="str">
        <x:v>Fonte usada para conferir avaliação do governo, aprovação/desaprovação e rejeição.</x:v>
      </x:c>
      <x:c r="L7" s="16" t="str">
        <x:v>Baixo</x:v>
      </x:c>
    </x:row>
  </x:sheetData>
  <x:pageMargins left="0.7" right="0.7" top="0.75" bottom="0.75" header="0.3" footer="0.3"/>
  <x:tableParts count="1">
    <x:tablePart xmlns:r="http://schemas.openxmlformats.org/officeDocument/2006/relationships" r:id="R8edc730989cd47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42" customHeight="1">
      <x:c r="A1" s="14" t="str">
        <x:v>Item</x:v>
      </x:c>
      <x:c r="B1" s="12" t="str">
        <x:v>Antes</x:v>
      </x:c>
      <x:c r="C1" s="12" t="str">
        <x:v>Depois</x:v>
      </x:c>
      <x:c r="D1" s="13" t="str">
        <x:v>Regra</x:v>
      </x:c>
    </x:row>
  </x:sheetData>
  <x:pageMargins left="0.7" right="0.7" top="0.75" bottom="0.75" header="0.3" footer="0.3"/>
  <x:tableParts count="1">
    <x:tablePart xmlns:r="http://schemas.openxmlformats.org/officeDocument/2006/relationships" r:id="R076726b56ce447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42" customHeight="1">
      <x:c r="A1" s="14" t="str">
        <x:v>Passo</x:v>
      </x:c>
      <x:c r="B1" s="12" t="str">
        <x:v>Ação</x:v>
      </x:c>
      <x:c r="C1" s="13" t="str">
        <x:v>Regra</x:v>
      </x:c>
    </x:row>
  </x:sheetData>
  <x:pageMargins left="0.7" right="0.7" top="0.75" bottom="0.75" header="0.3" footer="0.3"/>
  <x:tableParts count="1">
    <x:tablePart xmlns:r="http://schemas.openxmlformats.org/officeDocument/2006/relationships" r:id="R7858a0aa300e4fc4"/>
  </x:tableParts>
</x:worksheet>
</file>